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analytics Coding ninjas\Excel\"/>
    </mc:Choice>
  </mc:AlternateContent>
  <xr:revisionPtr revIDLastSave="0" documentId="13_ncr:1_{CC955944-8B33-40A6-92C8-9BB583095BBA}" xr6:coauthVersionLast="47" xr6:coauthVersionMax="47" xr10:uidLastSave="{00000000-0000-0000-0000-000000000000}"/>
  <bookViews>
    <workbookView xWindow="-120" yWindow="-120" windowWidth="24240" windowHeight="13140" tabRatio="811" firstSheet="1" activeTab="5" xr2:uid="{9683A128-4211-401D-A2BF-8A6792401A42}"/>
  </bookViews>
  <sheets>
    <sheet name="Sheet1" sheetId="15" state="hidden" r:id="rId1"/>
    <sheet name="All_India_Index_Upto_April23 (1" sheetId="1" r:id="rId2"/>
    <sheet name="Sheet3" sheetId="17" state="hidden" r:id="rId3"/>
    <sheet name="Sheet4" sheetId="18" state="hidden" r:id="rId4"/>
    <sheet name="Sheet2" sheetId="16" state="hidden" r:id="rId5"/>
    <sheet name="Dashboard" sheetId="14" r:id="rId6"/>
    <sheet name="Category Contribution Analysis" sheetId="2" state="hidden" r:id="rId7"/>
    <sheet name="YOY" sheetId="4" state="hidden" r:id="rId8"/>
    <sheet name="Food" sheetId="6" state="hidden" r:id="rId9"/>
    <sheet name="COVID-19" sheetId="9" state="hidden" r:id="rId10"/>
    <sheet name="Fuel_Impact" sheetId="13" state="hidden" r:id="rId11"/>
  </sheets>
  <definedNames>
    <definedName name="_xlnm._FilterDatabase" localSheetId="1" hidden="1">'All_India_Index_Upto_April23 (1'!$A$1:$AJ$373</definedName>
    <definedName name="_xlnm._FilterDatabase" localSheetId="8" hidden="1">Food!$A$1:$P$125</definedName>
    <definedName name="_xlnm._FilterDatabase" localSheetId="2" hidden="1">Sheet3!$A$1:$AI$373</definedName>
  </definedNames>
  <calcPr calcId="191029"/>
  <pivotCaches>
    <pivotCache cacheId="2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" i="18" l="1" a="1"/>
  <c r="H6" i="18" s="1"/>
  <c r="H4" i="18"/>
  <c r="C3" i="18"/>
  <c r="C4" i="18"/>
  <c r="C5" i="18"/>
  <c r="C2" i="18"/>
  <c r="AL2" i="17"/>
  <c r="AJ2" i="17"/>
  <c r="AI3" i="17"/>
  <c r="AI4" i="17"/>
  <c r="AI5" i="17"/>
  <c r="AI6" i="17"/>
  <c r="AI7" i="17"/>
  <c r="AI8" i="17"/>
  <c r="AI9" i="17"/>
  <c r="AI10" i="17"/>
  <c r="AI11" i="17"/>
  <c r="AI12" i="17"/>
  <c r="AI13" i="17"/>
  <c r="AI14" i="17"/>
  <c r="AI15" i="17"/>
  <c r="AI16" i="17"/>
  <c r="AI17" i="17"/>
  <c r="AI18" i="17"/>
  <c r="AI19" i="17"/>
  <c r="AI20" i="17"/>
  <c r="AI21" i="17"/>
  <c r="AI22" i="17"/>
  <c r="AI23" i="17"/>
  <c r="AI24" i="17"/>
  <c r="AI25" i="17"/>
  <c r="AI26" i="17"/>
  <c r="AI27" i="17"/>
  <c r="AI28" i="17"/>
  <c r="AI29" i="17"/>
  <c r="AI30" i="17"/>
  <c r="AI31" i="17"/>
  <c r="AI32" i="17"/>
  <c r="AI33" i="17"/>
  <c r="AI34" i="17"/>
  <c r="AI35" i="17"/>
  <c r="AI36" i="17"/>
  <c r="AI37" i="17"/>
  <c r="AI38" i="17"/>
  <c r="AI39" i="17"/>
  <c r="AI40" i="17"/>
  <c r="AI41" i="17"/>
  <c r="AI42" i="17"/>
  <c r="AI43" i="17"/>
  <c r="AI44" i="17"/>
  <c r="AI45" i="17"/>
  <c r="AI46" i="17"/>
  <c r="AI47" i="17"/>
  <c r="AI48" i="17"/>
  <c r="AI49" i="17"/>
  <c r="AI50" i="17"/>
  <c r="AI51" i="17"/>
  <c r="AI52" i="17"/>
  <c r="AI53" i="17"/>
  <c r="AI54" i="17"/>
  <c r="AI55" i="17"/>
  <c r="AI56" i="17"/>
  <c r="AI57" i="17"/>
  <c r="AI58" i="17"/>
  <c r="AI59" i="17"/>
  <c r="AI60" i="17"/>
  <c r="AI61" i="17"/>
  <c r="AI62" i="17"/>
  <c r="AI63" i="17"/>
  <c r="AI64" i="17"/>
  <c r="AI65" i="17"/>
  <c r="AI66" i="17"/>
  <c r="AI67" i="17"/>
  <c r="AI68" i="17"/>
  <c r="AI69" i="17"/>
  <c r="AI70" i="17"/>
  <c r="AI71" i="17"/>
  <c r="AI72" i="17"/>
  <c r="AI73" i="17"/>
  <c r="AI74" i="17"/>
  <c r="AI75" i="17"/>
  <c r="AI76" i="17"/>
  <c r="AI77" i="17"/>
  <c r="AI78" i="17"/>
  <c r="AI79" i="17"/>
  <c r="AI80" i="17"/>
  <c r="AI81" i="17"/>
  <c r="AI82" i="17"/>
  <c r="AI83" i="17"/>
  <c r="AI84" i="17"/>
  <c r="AI85" i="17"/>
  <c r="AI86" i="17"/>
  <c r="AI87" i="17"/>
  <c r="AI88" i="17"/>
  <c r="AI89" i="17"/>
  <c r="AI90" i="17"/>
  <c r="AI91" i="17"/>
  <c r="AI92" i="17"/>
  <c r="AI93" i="17"/>
  <c r="AI94" i="17"/>
  <c r="AI95" i="17"/>
  <c r="AI96" i="17"/>
  <c r="AI97" i="17"/>
  <c r="AI98" i="17"/>
  <c r="AI99" i="17"/>
  <c r="AI100" i="17"/>
  <c r="AI101" i="17"/>
  <c r="AI102" i="17"/>
  <c r="AI103" i="17"/>
  <c r="AI104" i="17"/>
  <c r="AI105" i="17"/>
  <c r="AI106" i="17"/>
  <c r="AI107" i="17"/>
  <c r="AI108" i="17"/>
  <c r="AI109" i="17"/>
  <c r="AI110" i="17"/>
  <c r="AI111" i="17"/>
  <c r="AI112" i="17"/>
  <c r="AI113" i="17"/>
  <c r="AI114" i="17"/>
  <c r="AI115" i="17"/>
  <c r="AI116" i="17"/>
  <c r="AI117" i="17"/>
  <c r="AI118" i="17"/>
  <c r="AI119" i="17"/>
  <c r="AI120" i="17"/>
  <c r="AI121" i="17"/>
  <c r="AI122" i="17"/>
  <c r="AI123" i="17"/>
  <c r="AI124" i="17"/>
  <c r="AI125" i="17"/>
  <c r="AI126" i="17"/>
  <c r="AI127" i="17"/>
  <c r="AI128" i="17"/>
  <c r="AI129" i="17"/>
  <c r="AI130" i="17"/>
  <c r="AI131" i="17"/>
  <c r="AI132" i="17"/>
  <c r="AI133" i="17"/>
  <c r="AI134" i="17"/>
  <c r="AI135" i="17"/>
  <c r="AI136" i="17"/>
  <c r="AI137" i="17"/>
  <c r="AI138" i="17"/>
  <c r="AI139" i="17"/>
  <c r="AI140" i="17"/>
  <c r="AI141" i="17"/>
  <c r="AI142" i="17"/>
  <c r="AI143" i="17"/>
  <c r="AI144" i="17"/>
  <c r="AI145" i="17"/>
  <c r="AI146" i="17"/>
  <c r="AI147" i="17"/>
  <c r="AI148" i="17"/>
  <c r="AI149" i="17"/>
  <c r="AI150" i="17"/>
  <c r="AI151" i="17"/>
  <c r="AI152" i="17"/>
  <c r="AI153" i="17"/>
  <c r="AI154" i="17"/>
  <c r="AI155" i="17"/>
  <c r="AI156" i="17"/>
  <c r="AI157" i="17"/>
  <c r="AI158" i="17"/>
  <c r="AI159" i="17"/>
  <c r="AI160" i="17"/>
  <c r="AI161" i="17"/>
  <c r="AI162" i="17"/>
  <c r="AI163" i="17"/>
  <c r="AI164" i="17"/>
  <c r="AI165" i="17"/>
  <c r="AI166" i="17"/>
  <c r="AI167" i="17"/>
  <c r="AI168" i="17"/>
  <c r="AI169" i="17"/>
  <c r="AI170" i="17"/>
  <c r="AI171" i="17"/>
  <c r="AI172" i="17"/>
  <c r="AI173" i="17"/>
  <c r="AI174" i="17"/>
  <c r="AI175" i="17"/>
  <c r="AI176" i="17"/>
  <c r="AI177" i="17"/>
  <c r="AI178" i="17"/>
  <c r="AI179" i="17"/>
  <c r="AI180" i="17"/>
  <c r="AI181" i="17"/>
  <c r="AI182" i="17"/>
  <c r="AI183" i="17"/>
  <c r="AI184" i="17"/>
  <c r="AI185" i="17"/>
  <c r="AI186" i="17"/>
  <c r="AI187" i="17"/>
  <c r="AI188" i="17"/>
  <c r="AI189" i="17"/>
  <c r="AI190" i="17"/>
  <c r="AI191" i="17"/>
  <c r="AI192" i="17"/>
  <c r="AI193" i="17"/>
  <c r="AI194" i="17"/>
  <c r="AI195" i="17"/>
  <c r="AI196" i="17"/>
  <c r="AI197" i="17"/>
  <c r="AI198" i="17"/>
  <c r="AI199" i="17"/>
  <c r="AI200" i="17"/>
  <c r="AI201" i="17"/>
  <c r="AI202" i="17"/>
  <c r="AI203" i="17"/>
  <c r="AI204" i="17"/>
  <c r="AI205" i="17"/>
  <c r="AI206" i="17"/>
  <c r="AI207" i="17"/>
  <c r="AI208" i="17"/>
  <c r="AI209" i="17"/>
  <c r="AI210" i="17"/>
  <c r="AI211" i="17"/>
  <c r="AI212" i="17"/>
  <c r="AI213" i="17"/>
  <c r="AI214" i="17"/>
  <c r="AI215" i="17"/>
  <c r="AI216" i="17"/>
  <c r="AI217" i="17"/>
  <c r="AI218" i="17"/>
  <c r="AI219" i="17"/>
  <c r="AI220" i="17"/>
  <c r="AI221" i="17"/>
  <c r="AI222" i="17"/>
  <c r="AI223" i="17"/>
  <c r="AI224" i="17"/>
  <c r="AI225" i="17"/>
  <c r="AI226" i="17"/>
  <c r="AI227" i="17"/>
  <c r="AI228" i="17"/>
  <c r="AI229" i="17"/>
  <c r="AI230" i="17"/>
  <c r="AI231" i="17"/>
  <c r="AI232" i="17"/>
  <c r="AI233" i="17"/>
  <c r="AI234" i="17"/>
  <c r="AI235" i="17"/>
  <c r="AI236" i="17"/>
  <c r="AI237" i="17"/>
  <c r="AI238" i="17"/>
  <c r="AI239" i="17"/>
  <c r="AI240" i="17"/>
  <c r="AI241" i="17"/>
  <c r="AI242" i="17"/>
  <c r="AI243" i="17"/>
  <c r="AI244" i="17"/>
  <c r="AI245" i="17"/>
  <c r="AI246" i="17"/>
  <c r="AI247" i="17"/>
  <c r="AI248" i="17"/>
  <c r="AI249" i="17"/>
  <c r="AI250" i="17"/>
  <c r="AI251" i="17"/>
  <c r="AI252" i="17"/>
  <c r="AI253" i="17"/>
  <c r="AI254" i="17"/>
  <c r="AI255" i="17"/>
  <c r="AI256" i="17"/>
  <c r="AI257" i="17"/>
  <c r="AI258" i="17"/>
  <c r="AI259" i="17"/>
  <c r="AI260" i="17"/>
  <c r="AI261" i="17"/>
  <c r="AI262" i="17"/>
  <c r="AI263" i="17"/>
  <c r="AI264" i="17"/>
  <c r="AI265" i="17"/>
  <c r="AI266" i="17"/>
  <c r="AI267" i="17"/>
  <c r="AI268" i="17"/>
  <c r="AI269" i="17"/>
  <c r="AI270" i="17"/>
  <c r="AI271" i="17"/>
  <c r="AI272" i="17"/>
  <c r="AI273" i="17"/>
  <c r="AI274" i="17"/>
  <c r="AI275" i="17"/>
  <c r="AI276" i="17"/>
  <c r="AI277" i="17"/>
  <c r="AI278" i="17"/>
  <c r="AI279" i="17"/>
  <c r="AI280" i="17"/>
  <c r="AI281" i="17"/>
  <c r="AI282" i="17"/>
  <c r="AI283" i="17"/>
  <c r="AI284" i="17"/>
  <c r="AI285" i="17"/>
  <c r="AI286" i="17"/>
  <c r="AI287" i="17"/>
  <c r="AI288" i="17"/>
  <c r="AI289" i="17"/>
  <c r="AI290" i="17"/>
  <c r="AI291" i="17"/>
  <c r="AI292" i="17"/>
  <c r="AI293" i="17"/>
  <c r="AI294" i="17"/>
  <c r="AI295" i="17"/>
  <c r="AI296" i="17"/>
  <c r="AI297" i="17"/>
  <c r="AI298" i="17"/>
  <c r="AI299" i="17"/>
  <c r="AI300" i="17"/>
  <c r="AI301" i="17"/>
  <c r="AI302" i="17"/>
  <c r="AI303" i="17"/>
  <c r="AI304" i="17"/>
  <c r="AI305" i="17"/>
  <c r="AI306" i="17"/>
  <c r="AI307" i="17"/>
  <c r="AI308" i="17"/>
  <c r="AI309" i="17"/>
  <c r="AI310" i="17"/>
  <c r="AI311" i="17"/>
  <c r="AI312" i="17"/>
  <c r="AI313" i="17"/>
  <c r="AI314" i="17"/>
  <c r="AI315" i="17"/>
  <c r="AI316" i="17"/>
  <c r="AI317" i="17"/>
  <c r="AI318" i="17"/>
  <c r="AI319" i="17"/>
  <c r="AI320" i="17"/>
  <c r="AI321" i="17"/>
  <c r="AI322" i="17"/>
  <c r="AI323" i="17"/>
  <c r="AI324" i="17"/>
  <c r="AI325" i="17"/>
  <c r="AI326" i="17"/>
  <c r="AI327" i="17"/>
  <c r="AI328" i="17"/>
  <c r="AI329" i="17"/>
  <c r="AI330" i="17"/>
  <c r="AI331" i="17"/>
  <c r="AI332" i="17"/>
  <c r="AI333" i="17"/>
  <c r="AI334" i="17"/>
  <c r="AI335" i="17"/>
  <c r="AI336" i="17"/>
  <c r="AI337" i="17"/>
  <c r="AI338" i="17"/>
  <c r="AI339" i="17"/>
  <c r="AI340" i="17"/>
  <c r="AI341" i="17"/>
  <c r="AI342" i="17"/>
  <c r="AI343" i="17"/>
  <c r="AI344" i="17"/>
  <c r="AI345" i="17"/>
  <c r="AI346" i="17"/>
  <c r="AI347" i="17"/>
  <c r="AI348" i="17"/>
  <c r="AI349" i="17"/>
  <c r="AI350" i="17"/>
  <c r="AI351" i="17"/>
  <c r="AI352" i="17"/>
  <c r="AI353" i="17"/>
  <c r="AI354" i="17"/>
  <c r="AI355" i="17"/>
  <c r="AI356" i="17"/>
  <c r="AI357" i="17"/>
  <c r="AI358" i="17"/>
  <c r="AI359" i="17"/>
  <c r="AI360" i="17"/>
  <c r="AI361" i="17"/>
  <c r="AI362" i="17"/>
  <c r="AI363" i="17"/>
  <c r="AI364" i="17"/>
  <c r="AI365" i="17"/>
  <c r="AI366" i="17"/>
  <c r="AI367" i="17"/>
  <c r="AI368" i="17"/>
  <c r="AI369" i="17"/>
  <c r="AI370" i="17"/>
  <c r="AI371" i="17"/>
  <c r="AI372" i="17"/>
  <c r="AI373" i="17"/>
  <c r="AI2" i="17"/>
  <c r="AB373" i="17"/>
  <c r="Y373" i="17"/>
  <c r="R373" i="17"/>
  <c r="D373" i="17"/>
  <c r="AB372" i="17"/>
  <c r="Y372" i="17"/>
  <c r="R372" i="17"/>
  <c r="D372" i="17"/>
  <c r="AB371" i="17"/>
  <c r="Y371" i="17"/>
  <c r="R371" i="17"/>
  <c r="D371" i="17"/>
  <c r="AB370" i="17"/>
  <c r="Y370" i="17"/>
  <c r="R370" i="17"/>
  <c r="D370" i="17"/>
  <c r="AB369" i="17"/>
  <c r="Y369" i="17"/>
  <c r="R369" i="17"/>
  <c r="D369" i="17"/>
  <c r="AB368" i="17"/>
  <c r="Y368" i="17"/>
  <c r="R368" i="17"/>
  <c r="D368" i="17"/>
  <c r="AB367" i="17"/>
  <c r="Y367" i="17"/>
  <c r="R367" i="17"/>
  <c r="D367" i="17"/>
  <c r="AB366" i="17"/>
  <c r="Y366" i="17"/>
  <c r="R366" i="17"/>
  <c r="D366" i="17"/>
  <c r="AB365" i="17"/>
  <c r="Y365" i="17"/>
  <c r="R365" i="17"/>
  <c r="D365" i="17"/>
  <c r="AB364" i="17"/>
  <c r="Y364" i="17"/>
  <c r="R364" i="17"/>
  <c r="D364" i="17"/>
  <c r="AB363" i="17"/>
  <c r="Y363" i="17"/>
  <c r="R363" i="17"/>
  <c r="D363" i="17"/>
  <c r="AB362" i="17"/>
  <c r="Y362" i="17"/>
  <c r="R362" i="17"/>
  <c r="D362" i="17"/>
  <c r="AB361" i="17"/>
  <c r="Y361" i="17"/>
  <c r="R361" i="17"/>
  <c r="D361" i="17"/>
  <c r="AB360" i="17"/>
  <c r="Y360" i="17"/>
  <c r="R360" i="17"/>
  <c r="D360" i="17"/>
  <c r="AB359" i="17"/>
  <c r="Y359" i="17"/>
  <c r="R359" i="17"/>
  <c r="D359" i="17"/>
  <c r="AB358" i="17"/>
  <c r="Y358" i="17"/>
  <c r="R358" i="17"/>
  <c r="D358" i="17"/>
  <c r="AB357" i="17"/>
  <c r="Y357" i="17"/>
  <c r="R357" i="17"/>
  <c r="D357" i="17"/>
  <c r="AB356" i="17"/>
  <c r="Y356" i="17"/>
  <c r="R356" i="17"/>
  <c r="D356" i="17"/>
  <c r="AB355" i="17"/>
  <c r="Y355" i="17"/>
  <c r="R355" i="17"/>
  <c r="D355" i="17"/>
  <c r="AB354" i="17"/>
  <c r="Y354" i="17"/>
  <c r="R354" i="17"/>
  <c r="D354" i="17"/>
  <c r="AB353" i="17"/>
  <c r="Y353" i="17"/>
  <c r="R353" i="17"/>
  <c r="D353" i="17"/>
  <c r="AB352" i="17"/>
  <c r="Y352" i="17"/>
  <c r="R352" i="17"/>
  <c r="D352" i="17"/>
  <c r="AB351" i="17"/>
  <c r="Y351" i="17"/>
  <c r="R351" i="17"/>
  <c r="D351" i="17"/>
  <c r="AB350" i="17"/>
  <c r="Y350" i="17"/>
  <c r="R350" i="17"/>
  <c r="D350" i="17"/>
  <c r="AB349" i="17"/>
  <c r="Y349" i="17"/>
  <c r="R349" i="17"/>
  <c r="D349" i="17"/>
  <c r="AB348" i="17"/>
  <c r="Y348" i="17"/>
  <c r="R348" i="17"/>
  <c r="D348" i="17"/>
  <c r="AB347" i="17"/>
  <c r="Y347" i="17"/>
  <c r="R347" i="17"/>
  <c r="D347" i="17"/>
  <c r="AB346" i="17"/>
  <c r="Y346" i="17"/>
  <c r="R346" i="17"/>
  <c r="D346" i="17"/>
  <c r="AB345" i="17"/>
  <c r="Y345" i="17"/>
  <c r="R345" i="17"/>
  <c r="D345" i="17"/>
  <c r="AB344" i="17"/>
  <c r="Y344" i="17"/>
  <c r="R344" i="17"/>
  <c r="D344" i="17"/>
  <c r="AB343" i="17"/>
  <c r="Y343" i="17"/>
  <c r="R343" i="17"/>
  <c r="D343" i="17"/>
  <c r="AB342" i="17"/>
  <c r="Y342" i="17"/>
  <c r="R342" i="17"/>
  <c r="D342" i="17"/>
  <c r="AB341" i="17"/>
  <c r="Y341" i="17"/>
  <c r="R341" i="17"/>
  <c r="D341" i="17"/>
  <c r="AB340" i="17"/>
  <c r="Y340" i="17"/>
  <c r="R340" i="17"/>
  <c r="D340" i="17"/>
  <c r="AB339" i="17"/>
  <c r="Y339" i="17"/>
  <c r="R339" i="17"/>
  <c r="D339" i="17"/>
  <c r="AB338" i="17"/>
  <c r="Y338" i="17"/>
  <c r="R338" i="17"/>
  <c r="D338" i="17"/>
  <c r="AB337" i="17"/>
  <c r="Y337" i="17"/>
  <c r="R337" i="17"/>
  <c r="D337" i="17"/>
  <c r="AB336" i="17"/>
  <c r="Y336" i="17"/>
  <c r="R336" i="17"/>
  <c r="D336" i="17"/>
  <c r="AB335" i="17"/>
  <c r="Y335" i="17"/>
  <c r="R335" i="17"/>
  <c r="D335" i="17"/>
  <c r="AB334" i="17"/>
  <c r="Y334" i="17"/>
  <c r="R334" i="17"/>
  <c r="D334" i="17"/>
  <c r="AB333" i="17"/>
  <c r="Y333" i="17"/>
  <c r="R333" i="17"/>
  <c r="D333" i="17"/>
  <c r="AB332" i="17"/>
  <c r="Y332" i="17"/>
  <c r="R332" i="17"/>
  <c r="D332" i="17"/>
  <c r="AB331" i="17"/>
  <c r="Y331" i="17"/>
  <c r="R331" i="17"/>
  <c r="D331" i="17"/>
  <c r="AB330" i="17"/>
  <c r="Y330" i="17"/>
  <c r="R330" i="17"/>
  <c r="D330" i="17"/>
  <c r="AB329" i="17"/>
  <c r="Y329" i="17"/>
  <c r="R329" i="17"/>
  <c r="D329" i="17"/>
  <c r="AB328" i="17"/>
  <c r="Y328" i="17"/>
  <c r="R328" i="17"/>
  <c r="D328" i="17"/>
  <c r="AB327" i="17"/>
  <c r="Y327" i="17"/>
  <c r="R327" i="17"/>
  <c r="D327" i="17"/>
  <c r="AB326" i="17"/>
  <c r="Y326" i="17"/>
  <c r="R326" i="17"/>
  <c r="D326" i="17"/>
  <c r="AB325" i="17"/>
  <c r="Y325" i="17"/>
  <c r="R325" i="17"/>
  <c r="D325" i="17"/>
  <c r="AB324" i="17"/>
  <c r="Y324" i="17"/>
  <c r="R324" i="17"/>
  <c r="D324" i="17"/>
  <c r="AB323" i="17"/>
  <c r="Y323" i="17"/>
  <c r="R323" i="17"/>
  <c r="D323" i="17"/>
  <c r="AB322" i="17"/>
  <c r="Y322" i="17"/>
  <c r="R322" i="17"/>
  <c r="D322" i="17"/>
  <c r="AB321" i="17"/>
  <c r="Y321" i="17"/>
  <c r="R321" i="17"/>
  <c r="D321" i="17"/>
  <c r="AB320" i="17"/>
  <c r="Y320" i="17"/>
  <c r="R320" i="17"/>
  <c r="D320" i="17"/>
  <c r="AB319" i="17"/>
  <c r="Y319" i="17"/>
  <c r="R319" i="17"/>
  <c r="D319" i="17"/>
  <c r="AB318" i="17"/>
  <c r="Y318" i="17"/>
  <c r="R318" i="17"/>
  <c r="D318" i="17"/>
  <c r="AB317" i="17"/>
  <c r="Y317" i="17"/>
  <c r="R317" i="17"/>
  <c r="D317" i="17"/>
  <c r="AB316" i="17"/>
  <c r="Y316" i="17"/>
  <c r="R316" i="17"/>
  <c r="D316" i="17"/>
  <c r="AB315" i="17"/>
  <c r="Y315" i="17"/>
  <c r="R315" i="17"/>
  <c r="D315" i="17"/>
  <c r="AB314" i="17"/>
  <c r="Y314" i="17"/>
  <c r="R314" i="17"/>
  <c r="D314" i="17"/>
  <c r="AB313" i="17"/>
  <c r="Y313" i="17"/>
  <c r="R313" i="17"/>
  <c r="D313" i="17"/>
  <c r="AB312" i="17"/>
  <c r="Y312" i="17"/>
  <c r="R312" i="17"/>
  <c r="D312" i="17"/>
  <c r="AB311" i="17"/>
  <c r="Y311" i="17"/>
  <c r="R311" i="17"/>
  <c r="D311" i="17"/>
  <c r="AB310" i="17"/>
  <c r="Y310" i="17"/>
  <c r="R310" i="17"/>
  <c r="D310" i="17"/>
  <c r="AB309" i="17"/>
  <c r="Y309" i="17"/>
  <c r="R309" i="17"/>
  <c r="D309" i="17"/>
  <c r="AB308" i="17"/>
  <c r="Y308" i="17"/>
  <c r="R308" i="17"/>
  <c r="D308" i="17"/>
  <c r="AB307" i="17"/>
  <c r="Y307" i="17"/>
  <c r="R307" i="17"/>
  <c r="D307" i="17"/>
  <c r="AB306" i="17"/>
  <c r="Y306" i="17"/>
  <c r="R306" i="17"/>
  <c r="D306" i="17"/>
  <c r="AB305" i="17"/>
  <c r="Y305" i="17"/>
  <c r="R305" i="17"/>
  <c r="D305" i="17"/>
  <c r="AB304" i="17"/>
  <c r="Y304" i="17"/>
  <c r="R304" i="17"/>
  <c r="D304" i="17"/>
  <c r="AB303" i="17"/>
  <c r="Y303" i="17"/>
  <c r="R303" i="17"/>
  <c r="D303" i="17"/>
  <c r="AB302" i="17"/>
  <c r="Y302" i="17"/>
  <c r="R302" i="17"/>
  <c r="D302" i="17"/>
  <c r="AB301" i="17"/>
  <c r="Y301" i="17"/>
  <c r="R301" i="17"/>
  <c r="D301" i="17"/>
  <c r="AB300" i="17"/>
  <c r="Y300" i="17"/>
  <c r="R300" i="17"/>
  <c r="D300" i="17"/>
  <c r="AB299" i="17"/>
  <c r="Y299" i="17"/>
  <c r="R299" i="17"/>
  <c r="D299" i="17"/>
  <c r="AB298" i="17"/>
  <c r="Y298" i="17"/>
  <c r="R298" i="17"/>
  <c r="D298" i="17"/>
  <c r="AB297" i="17"/>
  <c r="Y297" i="17"/>
  <c r="R297" i="17"/>
  <c r="D297" i="17"/>
  <c r="AB296" i="17"/>
  <c r="Y296" i="17"/>
  <c r="R296" i="17"/>
  <c r="D296" i="17"/>
  <c r="AB295" i="17"/>
  <c r="Y295" i="17"/>
  <c r="R295" i="17"/>
  <c r="D295" i="17"/>
  <c r="AB294" i="17"/>
  <c r="Y294" i="17"/>
  <c r="R294" i="17"/>
  <c r="D294" i="17"/>
  <c r="AB293" i="17"/>
  <c r="Y293" i="17"/>
  <c r="R293" i="17"/>
  <c r="D293" i="17"/>
  <c r="AB292" i="17"/>
  <c r="Y292" i="17"/>
  <c r="R292" i="17"/>
  <c r="D292" i="17"/>
  <c r="AB291" i="17"/>
  <c r="Y291" i="17"/>
  <c r="R291" i="17"/>
  <c r="D291" i="17"/>
  <c r="AB290" i="17"/>
  <c r="Y290" i="17"/>
  <c r="R290" i="17"/>
  <c r="D290" i="17"/>
  <c r="AB289" i="17"/>
  <c r="Y289" i="17"/>
  <c r="R289" i="17"/>
  <c r="D289" i="17"/>
  <c r="AB288" i="17"/>
  <c r="Y288" i="17"/>
  <c r="R288" i="17"/>
  <c r="D288" i="17"/>
  <c r="AB287" i="17"/>
  <c r="Y287" i="17"/>
  <c r="R287" i="17"/>
  <c r="D287" i="17"/>
  <c r="AB286" i="17"/>
  <c r="Y286" i="17"/>
  <c r="R286" i="17"/>
  <c r="D286" i="17"/>
  <c r="AB285" i="17"/>
  <c r="Y285" i="17"/>
  <c r="R285" i="17"/>
  <c r="D285" i="17"/>
  <c r="AB284" i="17"/>
  <c r="Y284" i="17"/>
  <c r="R284" i="17"/>
  <c r="D284" i="17"/>
  <c r="AB283" i="17"/>
  <c r="Y283" i="17"/>
  <c r="R283" i="17"/>
  <c r="D283" i="17"/>
  <c r="AB282" i="17"/>
  <c r="Y282" i="17"/>
  <c r="R282" i="17"/>
  <c r="D282" i="17"/>
  <c r="AB281" i="17"/>
  <c r="Y281" i="17"/>
  <c r="R281" i="17"/>
  <c r="D281" i="17"/>
  <c r="AB280" i="17"/>
  <c r="Y280" i="17"/>
  <c r="R280" i="17"/>
  <c r="D280" i="17"/>
  <c r="AB279" i="17"/>
  <c r="Y279" i="17"/>
  <c r="R279" i="17"/>
  <c r="D279" i="17"/>
  <c r="AB278" i="17"/>
  <c r="Y278" i="17"/>
  <c r="R278" i="17"/>
  <c r="D278" i="17"/>
  <c r="AB277" i="17"/>
  <c r="Y277" i="17"/>
  <c r="R277" i="17"/>
  <c r="D277" i="17"/>
  <c r="AB276" i="17"/>
  <c r="Y276" i="17"/>
  <c r="R276" i="17"/>
  <c r="D276" i="17"/>
  <c r="AB275" i="17"/>
  <c r="Y275" i="17"/>
  <c r="R275" i="17"/>
  <c r="D275" i="17"/>
  <c r="AB274" i="17"/>
  <c r="Y274" i="17"/>
  <c r="R274" i="17"/>
  <c r="D274" i="17"/>
  <c r="AB273" i="17"/>
  <c r="Y273" i="17"/>
  <c r="R273" i="17"/>
  <c r="D273" i="17"/>
  <c r="AB272" i="17"/>
  <c r="Y272" i="17"/>
  <c r="R272" i="17"/>
  <c r="D272" i="17"/>
  <c r="AB271" i="17"/>
  <c r="Y271" i="17"/>
  <c r="R271" i="17"/>
  <c r="D271" i="17"/>
  <c r="AB270" i="17"/>
  <c r="Y270" i="17"/>
  <c r="R270" i="17"/>
  <c r="D270" i="17"/>
  <c r="AB269" i="17"/>
  <c r="Y269" i="17"/>
  <c r="R269" i="17"/>
  <c r="D269" i="17"/>
  <c r="AB268" i="17"/>
  <c r="Y268" i="17"/>
  <c r="R268" i="17"/>
  <c r="D268" i="17"/>
  <c r="AB267" i="17"/>
  <c r="Y267" i="17"/>
  <c r="R267" i="17"/>
  <c r="D267" i="17"/>
  <c r="AB266" i="17"/>
  <c r="Y266" i="17"/>
  <c r="R266" i="17"/>
  <c r="D266" i="17"/>
  <c r="AB265" i="17"/>
  <c r="Y265" i="17"/>
  <c r="R265" i="17"/>
  <c r="D265" i="17"/>
  <c r="AB264" i="17"/>
  <c r="Y264" i="17"/>
  <c r="R264" i="17"/>
  <c r="D264" i="17"/>
  <c r="AB263" i="17"/>
  <c r="Y263" i="17"/>
  <c r="R263" i="17"/>
  <c r="D263" i="17"/>
  <c r="AB262" i="17"/>
  <c r="Y262" i="17"/>
  <c r="R262" i="17"/>
  <c r="D262" i="17"/>
  <c r="AB261" i="17"/>
  <c r="Y261" i="17"/>
  <c r="R261" i="17"/>
  <c r="D261" i="17"/>
  <c r="AB260" i="17"/>
  <c r="Y260" i="17"/>
  <c r="R260" i="17"/>
  <c r="D260" i="17"/>
  <c r="AB259" i="17"/>
  <c r="Y259" i="17"/>
  <c r="R259" i="17"/>
  <c r="D259" i="17"/>
  <c r="AB258" i="17"/>
  <c r="Y258" i="17"/>
  <c r="R258" i="17"/>
  <c r="D258" i="17"/>
  <c r="AB257" i="17"/>
  <c r="Y257" i="17"/>
  <c r="R257" i="17"/>
  <c r="D257" i="17"/>
  <c r="AB256" i="17"/>
  <c r="Y256" i="17"/>
  <c r="R256" i="17"/>
  <c r="D256" i="17"/>
  <c r="AB255" i="17"/>
  <c r="Y255" i="17"/>
  <c r="R255" i="17"/>
  <c r="D255" i="17"/>
  <c r="AB254" i="17"/>
  <c r="Y254" i="17"/>
  <c r="R254" i="17"/>
  <c r="D254" i="17"/>
  <c r="AB253" i="17"/>
  <c r="Y253" i="17"/>
  <c r="R253" i="17"/>
  <c r="D253" i="17"/>
  <c r="AB252" i="17"/>
  <c r="Y252" i="17"/>
  <c r="R252" i="17"/>
  <c r="D252" i="17"/>
  <c r="AB251" i="17"/>
  <c r="Y251" i="17"/>
  <c r="R251" i="17"/>
  <c r="D251" i="17"/>
  <c r="AB250" i="17"/>
  <c r="Y250" i="17"/>
  <c r="R250" i="17"/>
  <c r="D250" i="17"/>
  <c r="AB249" i="17"/>
  <c r="Y249" i="17"/>
  <c r="R249" i="17"/>
  <c r="D249" i="17"/>
  <c r="AB248" i="17"/>
  <c r="Y248" i="17"/>
  <c r="R248" i="17"/>
  <c r="D248" i="17"/>
  <c r="AB247" i="17"/>
  <c r="Y247" i="17"/>
  <c r="R247" i="17"/>
  <c r="D247" i="17"/>
  <c r="AB246" i="17"/>
  <c r="Y246" i="17"/>
  <c r="R246" i="17"/>
  <c r="D246" i="17"/>
  <c r="AB245" i="17"/>
  <c r="Y245" i="17"/>
  <c r="R245" i="17"/>
  <c r="D245" i="17"/>
  <c r="AB244" i="17"/>
  <c r="Y244" i="17"/>
  <c r="R244" i="17"/>
  <c r="D244" i="17"/>
  <c r="AB243" i="17"/>
  <c r="Y243" i="17"/>
  <c r="R243" i="17"/>
  <c r="D243" i="17"/>
  <c r="AB242" i="17"/>
  <c r="Y242" i="17"/>
  <c r="R242" i="17"/>
  <c r="D242" i="17"/>
  <c r="AB241" i="17"/>
  <c r="Y241" i="17"/>
  <c r="R241" i="17"/>
  <c r="D241" i="17"/>
  <c r="AB240" i="17"/>
  <c r="Y240" i="17"/>
  <c r="R240" i="17"/>
  <c r="D240" i="17"/>
  <c r="AB239" i="17"/>
  <c r="Y239" i="17"/>
  <c r="R239" i="17"/>
  <c r="D239" i="17"/>
  <c r="AB238" i="17"/>
  <c r="Y238" i="17"/>
  <c r="R238" i="17"/>
  <c r="D238" i="17"/>
  <c r="AB237" i="17"/>
  <c r="Y237" i="17"/>
  <c r="R237" i="17"/>
  <c r="D237" i="17"/>
  <c r="AB236" i="17"/>
  <c r="Y236" i="17"/>
  <c r="R236" i="17"/>
  <c r="D236" i="17"/>
  <c r="AB235" i="17"/>
  <c r="Y235" i="17"/>
  <c r="R235" i="17"/>
  <c r="D235" i="17"/>
  <c r="AB234" i="17"/>
  <c r="Y234" i="17"/>
  <c r="R234" i="17"/>
  <c r="D234" i="17"/>
  <c r="AB233" i="17"/>
  <c r="Y233" i="17"/>
  <c r="R233" i="17"/>
  <c r="D233" i="17"/>
  <c r="AB232" i="17"/>
  <c r="Y232" i="17"/>
  <c r="R232" i="17"/>
  <c r="D232" i="17"/>
  <c r="AB231" i="17"/>
  <c r="Y231" i="17"/>
  <c r="R231" i="17"/>
  <c r="D231" i="17"/>
  <c r="AB230" i="17"/>
  <c r="Y230" i="17"/>
  <c r="R230" i="17"/>
  <c r="D230" i="17"/>
  <c r="AB229" i="17"/>
  <c r="Y229" i="17"/>
  <c r="R229" i="17"/>
  <c r="D229" i="17"/>
  <c r="AB228" i="17"/>
  <c r="Y228" i="17"/>
  <c r="R228" i="17"/>
  <c r="D228" i="17"/>
  <c r="AB227" i="17"/>
  <c r="Y227" i="17"/>
  <c r="R227" i="17"/>
  <c r="D227" i="17"/>
  <c r="AB226" i="17"/>
  <c r="Y226" i="17"/>
  <c r="R226" i="17"/>
  <c r="D226" i="17"/>
  <c r="AB225" i="17"/>
  <c r="Y225" i="17"/>
  <c r="R225" i="17"/>
  <c r="D225" i="17"/>
  <c r="AB224" i="17"/>
  <c r="Y224" i="17"/>
  <c r="R224" i="17"/>
  <c r="D224" i="17"/>
  <c r="AB223" i="17"/>
  <c r="Y223" i="17"/>
  <c r="R223" i="17"/>
  <c r="D223" i="17"/>
  <c r="AB222" i="17"/>
  <c r="Y222" i="17"/>
  <c r="R222" i="17"/>
  <c r="D222" i="17"/>
  <c r="AB221" i="17"/>
  <c r="Y221" i="17"/>
  <c r="R221" i="17"/>
  <c r="D221" i="17"/>
  <c r="AB220" i="17"/>
  <c r="Y220" i="17"/>
  <c r="R220" i="17"/>
  <c r="D220" i="17"/>
  <c r="AB219" i="17"/>
  <c r="Y219" i="17"/>
  <c r="R219" i="17"/>
  <c r="D219" i="17"/>
  <c r="AB218" i="17"/>
  <c r="Y218" i="17"/>
  <c r="R218" i="17"/>
  <c r="D218" i="17"/>
  <c r="AB217" i="17"/>
  <c r="Y217" i="17"/>
  <c r="R217" i="17"/>
  <c r="D217" i="17"/>
  <c r="AB216" i="17"/>
  <c r="Y216" i="17"/>
  <c r="R216" i="17"/>
  <c r="D216" i="17"/>
  <c r="AB215" i="17"/>
  <c r="Y215" i="17"/>
  <c r="R215" i="17"/>
  <c r="D215" i="17"/>
  <c r="AB214" i="17"/>
  <c r="Y214" i="17"/>
  <c r="R214" i="17"/>
  <c r="D214" i="17"/>
  <c r="AB213" i="17"/>
  <c r="Y213" i="17"/>
  <c r="R213" i="17"/>
  <c r="D213" i="17"/>
  <c r="AB212" i="17"/>
  <c r="Y212" i="17"/>
  <c r="R212" i="17"/>
  <c r="D212" i="17"/>
  <c r="AB211" i="17"/>
  <c r="Y211" i="17"/>
  <c r="R211" i="17"/>
  <c r="D211" i="17"/>
  <c r="AB210" i="17"/>
  <c r="Y210" i="17"/>
  <c r="R210" i="17"/>
  <c r="D210" i="17"/>
  <c r="AB209" i="17"/>
  <c r="Y209" i="17"/>
  <c r="R209" i="17"/>
  <c r="D209" i="17"/>
  <c r="AB208" i="17"/>
  <c r="Y208" i="17"/>
  <c r="R208" i="17"/>
  <c r="D208" i="17"/>
  <c r="AB207" i="17"/>
  <c r="Y207" i="17"/>
  <c r="R207" i="17"/>
  <c r="D207" i="17"/>
  <c r="AB206" i="17"/>
  <c r="Y206" i="17"/>
  <c r="R206" i="17"/>
  <c r="D206" i="17"/>
  <c r="AB205" i="17"/>
  <c r="Y205" i="17"/>
  <c r="R205" i="17"/>
  <c r="D205" i="17"/>
  <c r="AB204" i="17"/>
  <c r="Y204" i="17"/>
  <c r="R204" i="17"/>
  <c r="D204" i="17"/>
  <c r="AB203" i="17"/>
  <c r="Y203" i="17"/>
  <c r="R203" i="17"/>
  <c r="D203" i="17"/>
  <c r="AB202" i="17"/>
  <c r="Y202" i="17"/>
  <c r="R202" i="17"/>
  <c r="D202" i="17"/>
  <c r="AB201" i="17"/>
  <c r="Y201" i="17"/>
  <c r="R201" i="17"/>
  <c r="D201" i="17"/>
  <c r="AB200" i="17"/>
  <c r="Y200" i="17"/>
  <c r="R200" i="17"/>
  <c r="D200" i="17"/>
  <c r="AB199" i="17"/>
  <c r="Y199" i="17"/>
  <c r="R199" i="17"/>
  <c r="D199" i="17"/>
  <c r="AB198" i="17"/>
  <c r="Y198" i="17"/>
  <c r="R198" i="17"/>
  <c r="D198" i="17"/>
  <c r="AB197" i="17"/>
  <c r="Y197" i="17"/>
  <c r="R197" i="17"/>
  <c r="D197" i="17"/>
  <c r="AB196" i="17"/>
  <c r="Y196" i="17"/>
  <c r="R196" i="17"/>
  <c r="D196" i="17"/>
  <c r="AB195" i="17"/>
  <c r="Y195" i="17"/>
  <c r="R195" i="17"/>
  <c r="D195" i="17"/>
  <c r="AB194" i="17"/>
  <c r="Y194" i="17"/>
  <c r="R194" i="17"/>
  <c r="D194" i="17"/>
  <c r="AB193" i="17"/>
  <c r="Y193" i="17"/>
  <c r="R193" i="17"/>
  <c r="D193" i="17"/>
  <c r="AB192" i="17"/>
  <c r="Y192" i="17"/>
  <c r="R192" i="17"/>
  <c r="D192" i="17"/>
  <c r="AB191" i="17"/>
  <c r="Y191" i="17"/>
  <c r="R191" i="17"/>
  <c r="D191" i="17"/>
  <c r="AB190" i="17"/>
  <c r="Y190" i="17"/>
  <c r="R190" i="17"/>
  <c r="D190" i="17"/>
  <c r="AB189" i="17"/>
  <c r="Y189" i="17"/>
  <c r="R189" i="17"/>
  <c r="D189" i="17"/>
  <c r="AB188" i="17"/>
  <c r="Y188" i="17"/>
  <c r="R188" i="17"/>
  <c r="D188" i="17"/>
  <c r="AB187" i="17"/>
  <c r="Y187" i="17"/>
  <c r="R187" i="17"/>
  <c r="D187" i="17"/>
  <c r="AB186" i="17"/>
  <c r="Y186" i="17"/>
  <c r="R186" i="17"/>
  <c r="D186" i="17"/>
  <c r="AB185" i="17"/>
  <c r="Y185" i="17"/>
  <c r="R185" i="17"/>
  <c r="D185" i="17"/>
  <c r="AB184" i="17"/>
  <c r="Y184" i="17"/>
  <c r="R184" i="17"/>
  <c r="D184" i="17"/>
  <c r="AB183" i="17"/>
  <c r="Y183" i="17"/>
  <c r="R183" i="17"/>
  <c r="D183" i="17"/>
  <c r="AB182" i="17"/>
  <c r="Y182" i="17"/>
  <c r="R182" i="17"/>
  <c r="D182" i="17"/>
  <c r="AB181" i="17"/>
  <c r="Y181" i="17"/>
  <c r="R181" i="17"/>
  <c r="D181" i="17"/>
  <c r="AB180" i="17"/>
  <c r="Y180" i="17"/>
  <c r="R180" i="17"/>
  <c r="D180" i="17"/>
  <c r="AB179" i="17"/>
  <c r="Y179" i="17"/>
  <c r="R179" i="17"/>
  <c r="D179" i="17"/>
  <c r="AB178" i="17"/>
  <c r="Y178" i="17"/>
  <c r="R178" i="17"/>
  <c r="D178" i="17"/>
  <c r="AB177" i="17"/>
  <c r="Y177" i="17"/>
  <c r="R177" i="17"/>
  <c r="D177" i="17"/>
  <c r="AB176" i="17"/>
  <c r="Y176" i="17"/>
  <c r="R176" i="17"/>
  <c r="D176" i="17"/>
  <c r="AB175" i="17"/>
  <c r="Y175" i="17"/>
  <c r="R175" i="17"/>
  <c r="D175" i="17"/>
  <c r="AB174" i="17"/>
  <c r="Y174" i="17"/>
  <c r="R174" i="17"/>
  <c r="D174" i="17"/>
  <c r="AB173" i="17"/>
  <c r="Y173" i="17"/>
  <c r="R173" i="17"/>
  <c r="D173" i="17"/>
  <c r="AB172" i="17"/>
  <c r="Y172" i="17"/>
  <c r="R172" i="17"/>
  <c r="D172" i="17"/>
  <c r="AB171" i="17"/>
  <c r="Y171" i="17"/>
  <c r="R171" i="17"/>
  <c r="D171" i="17"/>
  <c r="AB170" i="17"/>
  <c r="Y170" i="17"/>
  <c r="R170" i="17"/>
  <c r="D170" i="17"/>
  <c r="AB169" i="17"/>
  <c r="Y169" i="17"/>
  <c r="R169" i="17"/>
  <c r="D169" i="17"/>
  <c r="AB168" i="17"/>
  <c r="Y168" i="17"/>
  <c r="R168" i="17"/>
  <c r="D168" i="17"/>
  <c r="AB167" i="17"/>
  <c r="Y167" i="17"/>
  <c r="R167" i="17"/>
  <c r="D167" i="17"/>
  <c r="AB166" i="17"/>
  <c r="Y166" i="17"/>
  <c r="R166" i="17"/>
  <c r="D166" i="17"/>
  <c r="AB165" i="17"/>
  <c r="Y165" i="17"/>
  <c r="R165" i="17"/>
  <c r="D165" i="17"/>
  <c r="AB164" i="17"/>
  <c r="Y164" i="17"/>
  <c r="R164" i="17"/>
  <c r="D164" i="17"/>
  <c r="AB163" i="17"/>
  <c r="Y163" i="17"/>
  <c r="R163" i="17"/>
  <c r="D163" i="17"/>
  <c r="AB162" i="17"/>
  <c r="Y162" i="17"/>
  <c r="R162" i="17"/>
  <c r="D162" i="17"/>
  <c r="AB161" i="17"/>
  <c r="Y161" i="17"/>
  <c r="R161" i="17"/>
  <c r="D161" i="17"/>
  <c r="AB160" i="17"/>
  <c r="Y160" i="17"/>
  <c r="R160" i="17"/>
  <c r="D160" i="17"/>
  <c r="AB159" i="17"/>
  <c r="Y159" i="17"/>
  <c r="R159" i="17"/>
  <c r="D159" i="17"/>
  <c r="AB158" i="17"/>
  <c r="Y158" i="17"/>
  <c r="R158" i="17"/>
  <c r="D158" i="17"/>
  <c r="AB157" i="17"/>
  <c r="Y157" i="17"/>
  <c r="R157" i="17"/>
  <c r="D157" i="17"/>
  <c r="AB156" i="17"/>
  <c r="Y156" i="17"/>
  <c r="R156" i="17"/>
  <c r="D156" i="17"/>
  <c r="AB155" i="17"/>
  <c r="Y155" i="17"/>
  <c r="R155" i="17"/>
  <c r="D155" i="17"/>
  <c r="AB154" i="17"/>
  <c r="Y154" i="17"/>
  <c r="R154" i="17"/>
  <c r="D154" i="17"/>
  <c r="AB153" i="17"/>
  <c r="Y153" i="17"/>
  <c r="R153" i="17"/>
  <c r="D153" i="17"/>
  <c r="AB152" i="17"/>
  <c r="Y152" i="17"/>
  <c r="R152" i="17"/>
  <c r="D152" i="17"/>
  <c r="AB151" i="17"/>
  <c r="Y151" i="17"/>
  <c r="R151" i="17"/>
  <c r="D151" i="17"/>
  <c r="AB150" i="17"/>
  <c r="Y150" i="17"/>
  <c r="R150" i="17"/>
  <c r="D150" i="17"/>
  <c r="AB149" i="17"/>
  <c r="Y149" i="17"/>
  <c r="R149" i="17"/>
  <c r="D149" i="17"/>
  <c r="AB148" i="17"/>
  <c r="Y148" i="17"/>
  <c r="R148" i="17"/>
  <c r="D148" i="17"/>
  <c r="AB147" i="17"/>
  <c r="Y147" i="17"/>
  <c r="R147" i="17"/>
  <c r="D147" i="17"/>
  <c r="AB146" i="17"/>
  <c r="Y146" i="17"/>
  <c r="R146" i="17"/>
  <c r="D146" i="17"/>
  <c r="AB145" i="17"/>
  <c r="Y145" i="17"/>
  <c r="R145" i="17"/>
  <c r="D145" i="17"/>
  <c r="AB144" i="17"/>
  <c r="Y144" i="17"/>
  <c r="R144" i="17"/>
  <c r="D144" i="17"/>
  <c r="AB143" i="17"/>
  <c r="Y143" i="17"/>
  <c r="R143" i="17"/>
  <c r="D143" i="17"/>
  <c r="AB142" i="17"/>
  <c r="Y142" i="17"/>
  <c r="R142" i="17"/>
  <c r="D142" i="17"/>
  <c r="AB141" i="17"/>
  <c r="Y141" i="17"/>
  <c r="R141" i="17"/>
  <c r="D141" i="17"/>
  <c r="AB140" i="17"/>
  <c r="Y140" i="17"/>
  <c r="R140" i="17"/>
  <c r="D140" i="17"/>
  <c r="AB139" i="17"/>
  <c r="Y139" i="17"/>
  <c r="R139" i="17"/>
  <c r="D139" i="17"/>
  <c r="AB138" i="17"/>
  <c r="Y138" i="17"/>
  <c r="R138" i="17"/>
  <c r="D138" i="17"/>
  <c r="AB137" i="17"/>
  <c r="Y137" i="17"/>
  <c r="R137" i="17"/>
  <c r="D137" i="17"/>
  <c r="AB136" i="17"/>
  <c r="Y136" i="17"/>
  <c r="R136" i="17"/>
  <c r="D136" i="17"/>
  <c r="AB135" i="17"/>
  <c r="Y135" i="17"/>
  <c r="R135" i="17"/>
  <c r="D135" i="17"/>
  <c r="AB134" i="17"/>
  <c r="Y134" i="17"/>
  <c r="R134" i="17"/>
  <c r="D134" i="17"/>
  <c r="AB133" i="17"/>
  <c r="Y133" i="17"/>
  <c r="R133" i="17"/>
  <c r="D133" i="17"/>
  <c r="AB132" i="17"/>
  <c r="Y132" i="17"/>
  <c r="R132" i="17"/>
  <c r="D132" i="17"/>
  <c r="AB131" i="17"/>
  <c r="Y131" i="17"/>
  <c r="R131" i="17"/>
  <c r="D131" i="17"/>
  <c r="AB130" i="17"/>
  <c r="Y130" i="17"/>
  <c r="R130" i="17"/>
  <c r="D130" i="17"/>
  <c r="AB129" i="17"/>
  <c r="Y129" i="17"/>
  <c r="R129" i="17"/>
  <c r="D129" i="17"/>
  <c r="AB128" i="17"/>
  <c r="Y128" i="17"/>
  <c r="R128" i="17"/>
  <c r="D128" i="17"/>
  <c r="AB127" i="17"/>
  <c r="Y127" i="17"/>
  <c r="R127" i="17"/>
  <c r="D127" i="17"/>
  <c r="AB126" i="17"/>
  <c r="Y126" i="17"/>
  <c r="R126" i="17"/>
  <c r="D126" i="17"/>
  <c r="AB125" i="17"/>
  <c r="Y125" i="17"/>
  <c r="R125" i="17"/>
  <c r="D125" i="17"/>
  <c r="AB124" i="17"/>
  <c r="Y124" i="17"/>
  <c r="R124" i="17"/>
  <c r="D124" i="17"/>
  <c r="AB123" i="17"/>
  <c r="Y123" i="17"/>
  <c r="R123" i="17"/>
  <c r="D123" i="17"/>
  <c r="AB122" i="17"/>
  <c r="Y122" i="17"/>
  <c r="R122" i="17"/>
  <c r="D122" i="17"/>
  <c r="AB121" i="17"/>
  <c r="Y121" i="17"/>
  <c r="R121" i="17"/>
  <c r="D121" i="17"/>
  <c r="AB120" i="17"/>
  <c r="Y120" i="17"/>
  <c r="R120" i="17"/>
  <c r="D120" i="17"/>
  <c r="AB119" i="17"/>
  <c r="Y119" i="17"/>
  <c r="R119" i="17"/>
  <c r="D119" i="17"/>
  <c r="AB118" i="17"/>
  <c r="Y118" i="17"/>
  <c r="R118" i="17"/>
  <c r="D118" i="17"/>
  <c r="AB117" i="17"/>
  <c r="Y117" i="17"/>
  <c r="R117" i="17"/>
  <c r="D117" i="17"/>
  <c r="AB116" i="17"/>
  <c r="Y116" i="17"/>
  <c r="R116" i="17"/>
  <c r="D116" i="17"/>
  <c r="AB115" i="17"/>
  <c r="Y115" i="17"/>
  <c r="R115" i="17"/>
  <c r="D115" i="17"/>
  <c r="AB114" i="17"/>
  <c r="Y114" i="17"/>
  <c r="R114" i="17"/>
  <c r="D114" i="17"/>
  <c r="AB113" i="17"/>
  <c r="Y113" i="17"/>
  <c r="R113" i="17"/>
  <c r="D113" i="17"/>
  <c r="AB112" i="17"/>
  <c r="Y112" i="17"/>
  <c r="R112" i="17"/>
  <c r="D112" i="17"/>
  <c r="AB111" i="17"/>
  <c r="Y111" i="17"/>
  <c r="R111" i="17"/>
  <c r="D111" i="17"/>
  <c r="AB110" i="17"/>
  <c r="Y110" i="17"/>
  <c r="R110" i="17"/>
  <c r="D110" i="17"/>
  <c r="AB109" i="17"/>
  <c r="Y109" i="17"/>
  <c r="R109" i="17"/>
  <c r="D109" i="17"/>
  <c r="AB108" i="17"/>
  <c r="Y108" i="17"/>
  <c r="R108" i="17"/>
  <c r="D108" i="17"/>
  <c r="AB107" i="17"/>
  <c r="Y107" i="17"/>
  <c r="R107" i="17"/>
  <c r="D107" i="17"/>
  <c r="AB106" i="17"/>
  <c r="Y106" i="17"/>
  <c r="R106" i="17"/>
  <c r="D106" i="17"/>
  <c r="AB105" i="17"/>
  <c r="Y105" i="17"/>
  <c r="R105" i="17"/>
  <c r="D105" i="17"/>
  <c r="AB104" i="17"/>
  <c r="Y104" i="17"/>
  <c r="R104" i="17"/>
  <c r="D104" i="17"/>
  <c r="AB103" i="17"/>
  <c r="Y103" i="17"/>
  <c r="R103" i="17"/>
  <c r="D103" i="17"/>
  <c r="AB102" i="17"/>
  <c r="Y102" i="17"/>
  <c r="R102" i="17"/>
  <c r="D102" i="17"/>
  <c r="AB101" i="17"/>
  <c r="Y101" i="17"/>
  <c r="R101" i="17"/>
  <c r="D101" i="17"/>
  <c r="AB100" i="17"/>
  <c r="Y100" i="17"/>
  <c r="R100" i="17"/>
  <c r="D100" i="17"/>
  <c r="AB99" i="17"/>
  <c r="Y99" i="17"/>
  <c r="R99" i="17"/>
  <c r="D99" i="17"/>
  <c r="AB98" i="17"/>
  <c r="Y98" i="17"/>
  <c r="R98" i="17"/>
  <c r="D98" i="17"/>
  <c r="AB97" i="17"/>
  <c r="Y97" i="17"/>
  <c r="R97" i="17"/>
  <c r="D97" i="17"/>
  <c r="AB96" i="17"/>
  <c r="Y96" i="17"/>
  <c r="R96" i="17"/>
  <c r="D96" i="17"/>
  <c r="AB95" i="17"/>
  <c r="Y95" i="17"/>
  <c r="R95" i="17"/>
  <c r="D95" i="17"/>
  <c r="AB94" i="17"/>
  <c r="Y94" i="17"/>
  <c r="R94" i="17"/>
  <c r="D94" i="17"/>
  <c r="AB93" i="17"/>
  <c r="Y93" i="17"/>
  <c r="R93" i="17"/>
  <c r="D93" i="17"/>
  <c r="AB92" i="17"/>
  <c r="Y92" i="17"/>
  <c r="R92" i="17"/>
  <c r="D92" i="17"/>
  <c r="AB91" i="17"/>
  <c r="Y91" i="17"/>
  <c r="R91" i="17"/>
  <c r="D91" i="17"/>
  <c r="AB90" i="17"/>
  <c r="Y90" i="17"/>
  <c r="R90" i="17"/>
  <c r="D90" i="17"/>
  <c r="AB89" i="17"/>
  <c r="Y89" i="17"/>
  <c r="R89" i="17"/>
  <c r="D89" i="17"/>
  <c r="AB88" i="17"/>
  <c r="Y88" i="17"/>
  <c r="R88" i="17"/>
  <c r="D88" i="17"/>
  <c r="AB87" i="17"/>
  <c r="Y87" i="17"/>
  <c r="R87" i="17"/>
  <c r="D87" i="17"/>
  <c r="AB86" i="17"/>
  <c r="Y86" i="17"/>
  <c r="R86" i="17"/>
  <c r="D86" i="17"/>
  <c r="AB85" i="17"/>
  <c r="Y85" i="17"/>
  <c r="R85" i="17"/>
  <c r="D85" i="17"/>
  <c r="AB84" i="17"/>
  <c r="Y84" i="17"/>
  <c r="R84" i="17"/>
  <c r="D84" i="17"/>
  <c r="AB83" i="17"/>
  <c r="Y83" i="17"/>
  <c r="R83" i="17"/>
  <c r="D83" i="17"/>
  <c r="AB82" i="17"/>
  <c r="Y82" i="17"/>
  <c r="R82" i="17"/>
  <c r="D82" i="17"/>
  <c r="AB81" i="17"/>
  <c r="Y81" i="17"/>
  <c r="R81" i="17"/>
  <c r="D81" i="17"/>
  <c r="AB80" i="17"/>
  <c r="Y80" i="17"/>
  <c r="R80" i="17"/>
  <c r="D80" i="17"/>
  <c r="AB79" i="17"/>
  <c r="Y79" i="17"/>
  <c r="R79" i="17"/>
  <c r="D79" i="17"/>
  <c r="AB78" i="17"/>
  <c r="Y78" i="17"/>
  <c r="R78" i="17"/>
  <c r="D78" i="17"/>
  <c r="AB77" i="17"/>
  <c r="Y77" i="17"/>
  <c r="R77" i="17"/>
  <c r="D77" i="17"/>
  <c r="AB76" i="17"/>
  <c r="Y76" i="17"/>
  <c r="R76" i="17"/>
  <c r="D76" i="17"/>
  <c r="AB75" i="17"/>
  <c r="Y75" i="17"/>
  <c r="R75" i="17"/>
  <c r="D75" i="17"/>
  <c r="AB74" i="17"/>
  <c r="Y74" i="17"/>
  <c r="R74" i="17"/>
  <c r="D74" i="17"/>
  <c r="AB73" i="17"/>
  <c r="Y73" i="17"/>
  <c r="R73" i="17"/>
  <c r="D73" i="17"/>
  <c r="AB72" i="17"/>
  <c r="Y72" i="17"/>
  <c r="R72" i="17"/>
  <c r="D72" i="17"/>
  <c r="AB71" i="17"/>
  <c r="Y71" i="17"/>
  <c r="R71" i="17"/>
  <c r="D71" i="17"/>
  <c r="AB70" i="17"/>
  <c r="Y70" i="17"/>
  <c r="R70" i="17"/>
  <c r="D70" i="17"/>
  <c r="AB69" i="17"/>
  <c r="Y69" i="17"/>
  <c r="R69" i="17"/>
  <c r="D69" i="17"/>
  <c r="AB68" i="17"/>
  <c r="Y68" i="17"/>
  <c r="R68" i="17"/>
  <c r="D68" i="17"/>
  <c r="AB67" i="17"/>
  <c r="Y67" i="17"/>
  <c r="R67" i="17"/>
  <c r="D67" i="17"/>
  <c r="AB66" i="17"/>
  <c r="Y66" i="17"/>
  <c r="R66" i="17"/>
  <c r="D66" i="17"/>
  <c r="AB65" i="17"/>
  <c r="Y65" i="17"/>
  <c r="R65" i="17"/>
  <c r="D65" i="17"/>
  <c r="AB64" i="17"/>
  <c r="Y64" i="17"/>
  <c r="R64" i="17"/>
  <c r="D64" i="17"/>
  <c r="AB63" i="17"/>
  <c r="Y63" i="17"/>
  <c r="R63" i="17"/>
  <c r="D63" i="17"/>
  <c r="AB62" i="17"/>
  <c r="Y62" i="17"/>
  <c r="R62" i="17"/>
  <c r="D62" i="17"/>
  <c r="AB61" i="17"/>
  <c r="Y61" i="17"/>
  <c r="R61" i="17"/>
  <c r="D61" i="17"/>
  <c r="AB60" i="17"/>
  <c r="Y60" i="17"/>
  <c r="R60" i="17"/>
  <c r="D60" i="17"/>
  <c r="AB59" i="17"/>
  <c r="Y59" i="17"/>
  <c r="R59" i="17"/>
  <c r="D59" i="17"/>
  <c r="AB58" i="17"/>
  <c r="Y58" i="17"/>
  <c r="R58" i="17"/>
  <c r="D58" i="17"/>
  <c r="AB57" i="17"/>
  <c r="Y57" i="17"/>
  <c r="R57" i="17"/>
  <c r="D57" i="17"/>
  <c r="AB56" i="17"/>
  <c r="Y56" i="17"/>
  <c r="R56" i="17"/>
  <c r="D56" i="17"/>
  <c r="AB55" i="17"/>
  <c r="Y55" i="17"/>
  <c r="R55" i="17"/>
  <c r="D55" i="17"/>
  <c r="AB54" i="17"/>
  <c r="Y54" i="17"/>
  <c r="R54" i="17"/>
  <c r="D54" i="17"/>
  <c r="AB53" i="17"/>
  <c r="Y53" i="17"/>
  <c r="R53" i="17"/>
  <c r="D53" i="17"/>
  <c r="AB52" i="17"/>
  <c r="Y52" i="17"/>
  <c r="R52" i="17"/>
  <c r="D52" i="17"/>
  <c r="AB51" i="17"/>
  <c r="Y51" i="17"/>
  <c r="R51" i="17"/>
  <c r="D51" i="17"/>
  <c r="AB50" i="17"/>
  <c r="Y50" i="17"/>
  <c r="R50" i="17"/>
  <c r="D50" i="17"/>
  <c r="AB49" i="17"/>
  <c r="Y49" i="17"/>
  <c r="R49" i="17"/>
  <c r="D49" i="17"/>
  <c r="AB48" i="17"/>
  <c r="Y48" i="17"/>
  <c r="R48" i="17"/>
  <c r="D48" i="17"/>
  <c r="AB47" i="17"/>
  <c r="Y47" i="17"/>
  <c r="R47" i="17"/>
  <c r="D47" i="17"/>
  <c r="AB46" i="17"/>
  <c r="Y46" i="17"/>
  <c r="R46" i="17"/>
  <c r="D46" i="17"/>
  <c r="AB45" i="17"/>
  <c r="Y45" i="17"/>
  <c r="R45" i="17"/>
  <c r="D45" i="17"/>
  <c r="AB44" i="17"/>
  <c r="Y44" i="17"/>
  <c r="R44" i="17"/>
  <c r="D44" i="17"/>
  <c r="AB43" i="17"/>
  <c r="Y43" i="17"/>
  <c r="R43" i="17"/>
  <c r="D43" i="17"/>
  <c r="AB42" i="17"/>
  <c r="Y42" i="17"/>
  <c r="R42" i="17"/>
  <c r="D42" i="17"/>
  <c r="AB41" i="17"/>
  <c r="Y41" i="17"/>
  <c r="R41" i="17"/>
  <c r="D41" i="17"/>
  <c r="AB40" i="17"/>
  <c r="Y40" i="17"/>
  <c r="R40" i="17"/>
  <c r="D40" i="17"/>
  <c r="AB39" i="17"/>
  <c r="Y39" i="17"/>
  <c r="R39" i="17"/>
  <c r="D39" i="17"/>
  <c r="AB38" i="17"/>
  <c r="Y38" i="17"/>
  <c r="R38" i="17"/>
  <c r="D38" i="17"/>
  <c r="AB37" i="17"/>
  <c r="Y37" i="17"/>
  <c r="R37" i="17"/>
  <c r="D37" i="17"/>
  <c r="AB36" i="17"/>
  <c r="Y36" i="17"/>
  <c r="R36" i="17"/>
  <c r="D36" i="17"/>
  <c r="AB35" i="17"/>
  <c r="Y35" i="17"/>
  <c r="R35" i="17"/>
  <c r="D35" i="17"/>
  <c r="AB34" i="17"/>
  <c r="Y34" i="17"/>
  <c r="R34" i="17"/>
  <c r="D34" i="17"/>
  <c r="AB33" i="17"/>
  <c r="Y33" i="17"/>
  <c r="R33" i="17"/>
  <c r="D33" i="17"/>
  <c r="AB32" i="17"/>
  <c r="Y32" i="17"/>
  <c r="R32" i="17"/>
  <c r="D32" i="17"/>
  <c r="AB31" i="17"/>
  <c r="Y31" i="17"/>
  <c r="R31" i="17"/>
  <c r="D31" i="17"/>
  <c r="AB30" i="17"/>
  <c r="Y30" i="17"/>
  <c r="R30" i="17"/>
  <c r="D30" i="17"/>
  <c r="AB29" i="17"/>
  <c r="Y29" i="17"/>
  <c r="R29" i="17"/>
  <c r="D29" i="17"/>
  <c r="AB28" i="17"/>
  <c r="Y28" i="17"/>
  <c r="R28" i="17"/>
  <c r="D28" i="17"/>
  <c r="AB27" i="17"/>
  <c r="Y27" i="17"/>
  <c r="R27" i="17"/>
  <c r="D27" i="17"/>
  <c r="AB26" i="17"/>
  <c r="Y26" i="17"/>
  <c r="R26" i="17"/>
  <c r="D26" i="17"/>
  <c r="AB25" i="17"/>
  <c r="Y25" i="17"/>
  <c r="R25" i="17"/>
  <c r="D25" i="17"/>
  <c r="AB24" i="17"/>
  <c r="Y24" i="17"/>
  <c r="R24" i="17"/>
  <c r="D24" i="17"/>
  <c r="AB23" i="17"/>
  <c r="Y23" i="17"/>
  <c r="R23" i="17"/>
  <c r="D23" i="17"/>
  <c r="AB22" i="17"/>
  <c r="Y22" i="17"/>
  <c r="R22" i="17"/>
  <c r="D22" i="17"/>
  <c r="AB21" i="17"/>
  <c r="Y21" i="17"/>
  <c r="R21" i="17"/>
  <c r="D21" i="17"/>
  <c r="AB20" i="17"/>
  <c r="Y20" i="17"/>
  <c r="R20" i="17"/>
  <c r="D20" i="17"/>
  <c r="AB19" i="17"/>
  <c r="Y19" i="17"/>
  <c r="R19" i="17"/>
  <c r="D19" i="17"/>
  <c r="AB18" i="17"/>
  <c r="Y18" i="17"/>
  <c r="R18" i="17"/>
  <c r="D18" i="17"/>
  <c r="AB17" i="17"/>
  <c r="Y17" i="17"/>
  <c r="R17" i="17"/>
  <c r="D17" i="17"/>
  <c r="AB16" i="17"/>
  <c r="Y16" i="17"/>
  <c r="R16" i="17"/>
  <c r="D16" i="17"/>
  <c r="AB15" i="17"/>
  <c r="Y15" i="17"/>
  <c r="R15" i="17"/>
  <c r="D15" i="17"/>
  <c r="AB14" i="17"/>
  <c r="Y14" i="17"/>
  <c r="R14" i="17"/>
  <c r="D14" i="17"/>
  <c r="AB13" i="17"/>
  <c r="Y13" i="17"/>
  <c r="R13" i="17"/>
  <c r="D13" i="17"/>
  <c r="AB12" i="17"/>
  <c r="Y12" i="17"/>
  <c r="R12" i="17"/>
  <c r="D12" i="17"/>
  <c r="AB11" i="17"/>
  <c r="Y11" i="17"/>
  <c r="R11" i="17"/>
  <c r="D11" i="17"/>
  <c r="AB10" i="17"/>
  <c r="Y10" i="17"/>
  <c r="R10" i="17"/>
  <c r="D10" i="17"/>
  <c r="AB9" i="17"/>
  <c r="Y9" i="17"/>
  <c r="R9" i="17"/>
  <c r="D9" i="17"/>
  <c r="AB8" i="17"/>
  <c r="Y8" i="17"/>
  <c r="R8" i="17"/>
  <c r="D8" i="17"/>
  <c r="AB7" i="17"/>
  <c r="Y7" i="17"/>
  <c r="R7" i="17"/>
  <c r="D7" i="17"/>
  <c r="AB6" i="17"/>
  <c r="Y6" i="17"/>
  <c r="R6" i="17"/>
  <c r="D6" i="17"/>
  <c r="AB5" i="17"/>
  <c r="Y5" i="17"/>
  <c r="R5" i="17"/>
  <c r="D5" i="17"/>
  <c r="AB4" i="17"/>
  <c r="Y4" i="17"/>
  <c r="R4" i="17"/>
  <c r="D4" i="17"/>
  <c r="AB3" i="17"/>
  <c r="Y3" i="17"/>
  <c r="R3" i="17"/>
  <c r="D3" i="17"/>
  <c r="D2" i="17"/>
  <c r="K16" i="15" l="1"/>
  <c r="M10" i="15" a="1"/>
  <c r="M10" i="15" s="1"/>
  <c r="J16" i="15"/>
  <c r="I21" i="15"/>
  <c r="I20" i="15"/>
  <c r="H21" i="15"/>
  <c r="H20" i="15"/>
  <c r="D25" i="9"/>
  <c r="O7" i="6"/>
  <c r="O6" i="6"/>
  <c r="J5" i="4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" i="1"/>
  <c r="H3" i="13"/>
  <c r="H2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G3" i="13"/>
  <c r="E3" i="13"/>
  <c r="C3" i="13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AB4" i="1"/>
  <c r="AB35" i="1"/>
  <c r="AB36" i="1"/>
  <c r="AB37" i="1"/>
  <c r="AB68" i="1"/>
  <c r="AB69" i="1"/>
  <c r="AB70" i="1"/>
  <c r="AB101" i="1"/>
  <c r="AB102" i="1"/>
  <c r="AB103" i="1"/>
  <c r="AB131" i="1"/>
  <c r="AB132" i="1"/>
  <c r="AB133" i="1"/>
  <c r="AB164" i="1"/>
  <c r="AB165" i="1"/>
  <c r="AB166" i="1"/>
  <c r="AB194" i="1"/>
  <c r="AB195" i="1"/>
  <c r="AB196" i="1"/>
  <c r="AB224" i="1"/>
  <c r="AB225" i="1"/>
  <c r="AB226" i="1"/>
  <c r="AB254" i="1"/>
  <c r="AB255" i="1"/>
  <c r="AB256" i="1"/>
  <c r="AB284" i="1"/>
  <c r="AB285" i="1"/>
  <c r="AB286" i="1"/>
  <c r="AB314" i="1"/>
  <c r="AB315" i="1"/>
  <c r="AB316" i="1"/>
  <c r="AB344" i="1"/>
  <c r="AB345" i="1"/>
  <c r="AB346" i="1"/>
  <c r="AB5" i="1"/>
  <c r="AB6" i="1"/>
  <c r="AB7" i="1"/>
  <c r="AB38" i="1"/>
  <c r="AB39" i="1"/>
  <c r="AB40" i="1"/>
  <c r="AB71" i="1"/>
  <c r="AB72" i="1"/>
  <c r="AB73" i="1"/>
  <c r="AB104" i="1"/>
  <c r="AB105" i="1"/>
  <c r="AB106" i="1"/>
  <c r="AB134" i="1"/>
  <c r="AB135" i="1"/>
  <c r="AB136" i="1"/>
  <c r="AB167" i="1"/>
  <c r="AB168" i="1"/>
  <c r="AB169" i="1"/>
  <c r="AB197" i="1"/>
  <c r="AB198" i="1"/>
  <c r="AB199" i="1"/>
  <c r="AB227" i="1"/>
  <c r="AB228" i="1"/>
  <c r="AB229" i="1"/>
  <c r="AB257" i="1"/>
  <c r="AB258" i="1"/>
  <c r="AB259" i="1"/>
  <c r="AB287" i="1"/>
  <c r="AB288" i="1"/>
  <c r="AB289" i="1"/>
  <c r="AB317" i="1"/>
  <c r="AB318" i="1"/>
  <c r="AB319" i="1"/>
  <c r="AB347" i="1"/>
  <c r="AB348" i="1"/>
  <c r="AB349" i="1"/>
  <c r="AB8" i="1"/>
  <c r="AB9" i="1"/>
  <c r="AB10" i="1"/>
  <c r="AB41" i="1"/>
  <c r="AB42" i="1"/>
  <c r="AB43" i="1"/>
  <c r="AB74" i="1"/>
  <c r="AB75" i="1"/>
  <c r="AB76" i="1"/>
  <c r="AB107" i="1"/>
  <c r="AB108" i="1"/>
  <c r="AB109" i="1"/>
  <c r="AB137" i="1"/>
  <c r="AB138" i="1"/>
  <c r="AB139" i="1"/>
  <c r="AB170" i="1"/>
  <c r="AB171" i="1"/>
  <c r="AB172" i="1"/>
  <c r="AB200" i="1"/>
  <c r="AB201" i="1"/>
  <c r="AB202" i="1"/>
  <c r="AB230" i="1"/>
  <c r="AB231" i="1"/>
  <c r="AB232" i="1"/>
  <c r="AB260" i="1"/>
  <c r="AB261" i="1"/>
  <c r="AB262" i="1"/>
  <c r="AB290" i="1"/>
  <c r="AB291" i="1"/>
  <c r="AB292" i="1"/>
  <c r="AB320" i="1"/>
  <c r="AB321" i="1"/>
  <c r="AB322" i="1"/>
  <c r="AB350" i="1"/>
  <c r="AB351" i="1"/>
  <c r="AB352" i="1"/>
  <c r="AB11" i="1"/>
  <c r="AB12" i="1"/>
  <c r="AB13" i="1"/>
  <c r="AB44" i="1"/>
  <c r="AB45" i="1"/>
  <c r="AB46" i="1"/>
  <c r="AB77" i="1"/>
  <c r="AB78" i="1"/>
  <c r="AB79" i="1"/>
  <c r="AB110" i="1"/>
  <c r="AB111" i="1"/>
  <c r="AB112" i="1"/>
  <c r="AB140" i="1"/>
  <c r="AB141" i="1"/>
  <c r="AB142" i="1"/>
  <c r="AB173" i="1"/>
  <c r="AB174" i="1"/>
  <c r="AB175" i="1"/>
  <c r="AB203" i="1"/>
  <c r="AB204" i="1"/>
  <c r="AB205" i="1"/>
  <c r="AB233" i="1"/>
  <c r="AB234" i="1"/>
  <c r="AB235" i="1"/>
  <c r="AB263" i="1"/>
  <c r="AB264" i="1"/>
  <c r="AB265" i="1"/>
  <c r="AB293" i="1"/>
  <c r="AB294" i="1"/>
  <c r="AB295" i="1"/>
  <c r="AB323" i="1"/>
  <c r="AB324" i="1"/>
  <c r="AB325" i="1"/>
  <c r="AB353" i="1"/>
  <c r="AB354" i="1"/>
  <c r="AB355" i="1"/>
  <c r="AB14" i="1"/>
  <c r="AB15" i="1"/>
  <c r="AB16" i="1"/>
  <c r="AB47" i="1"/>
  <c r="AB48" i="1"/>
  <c r="AB49" i="1"/>
  <c r="AB80" i="1"/>
  <c r="AB81" i="1"/>
  <c r="AB82" i="1"/>
  <c r="AB113" i="1"/>
  <c r="AB114" i="1"/>
  <c r="AB115" i="1"/>
  <c r="AB143" i="1"/>
  <c r="AB144" i="1"/>
  <c r="AB145" i="1"/>
  <c r="AB176" i="1"/>
  <c r="AB177" i="1"/>
  <c r="AB178" i="1"/>
  <c r="AB206" i="1"/>
  <c r="AB207" i="1"/>
  <c r="AB208" i="1"/>
  <c r="AB236" i="1"/>
  <c r="AB237" i="1"/>
  <c r="AB238" i="1"/>
  <c r="AB266" i="1"/>
  <c r="AB267" i="1"/>
  <c r="AB268" i="1"/>
  <c r="AB296" i="1"/>
  <c r="AB297" i="1"/>
  <c r="AB298" i="1"/>
  <c r="AB326" i="1"/>
  <c r="AB327" i="1"/>
  <c r="AB328" i="1"/>
  <c r="AB356" i="1"/>
  <c r="AB357" i="1"/>
  <c r="AB358" i="1"/>
  <c r="AB17" i="1"/>
  <c r="AB18" i="1"/>
  <c r="AB19" i="1"/>
  <c r="AB50" i="1"/>
  <c r="AB51" i="1"/>
  <c r="AB52" i="1"/>
  <c r="AB83" i="1"/>
  <c r="AB84" i="1"/>
  <c r="AB85" i="1"/>
  <c r="AB116" i="1"/>
  <c r="AB117" i="1"/>
  <c r="AB118" i="1"/>
  <c r="AB146" i="1"/>
  <c r="AB147" i="1"/>
  <c r="AB148" i="1"/>
  <c r="AB179" i="1"/>
  <c r="AB180" i="1"/>
  <c r="AB181" i="1"/>
  <c r="AB209" i="1"/>
  <c r="AB210" i="1"/>
  <c r="AB211" i="1"/>
  <c r="AB239" i="1"/>
  <c r="AB240" i="1"/>
  <c r="AB241" i="1"/>
  <c r="AB269" i="1"/>
  <c r="AB270" i="1"/>
  <c r="AB271" i="1"/>
  <c r="AB299" i="1"/>
  <c r="AB300" i="1"/>
  <c r="AB301" i="1"/>
  <c r="AB329" i="1"/>
  <c r="AB330" i="1"/>
  <c r="AB331" i="1"/>
  <c r="AB359" i="1"/>
  <c r="AB360" i="1"/>
  <c r="AB361" i="1"/>
  <c r="AB20" i="1"/>
  <c r="AB21" i="1"/>
  <c r="AB22" i="1"/>
  <c r="AB53" i="1"/>
  <c r="AB54" i="1"/>
  <c r="AB55" i="1"/>
  <c r="AB86" i="1"/>
  <c r="AB87" i="1"/>
  <c r="AB88" i="1"/>
  <c r="AB149" i="1"/>
  <c r="AB150" i="1"/>
  <c r="AB151" i="1"/>
  <c r="AB182" i="1"/>
  <c r="AB183" i="1"/>
  <c r="AB184" i="1"/>
  <c r="AB212" i="1"/>
  <c r="AB213" i="1"/>
  <c r="AB214" i="1"/>
  <c r="AB242" i="1"/>
  <c r="AB243" i="1"/>
  <c r="AB244" i="1"/>
  <c r="AB272" i="1"/>
  <c r="AB273" i="1"/>
  <c r="AB274" i="1"/>
  <c r="AB302" i="1"/>
  <c r="AB303" i="1"/>
  <c r="AB304" i="1"/>
  <c r="AB332" i="1"/>
  <c r="AB333" i="1"/>
  <c r="AB334" i="1"/>
  <c r="AB362" i="1"/>
  <c r="AB363" i="1"/>
  <c r="AB364" i="1"/>
  <c r="AB23" i="1"/>
  <c r="AB24" i="1"/>
  <c r="AB25" i="1"/>
  <c r="AB56" i="1"/>
  <c r="AB57" i="1"/>
  <c r="AB58" i="1"/>
  <c r="AB89" i="1"/>
  <c r="AB90" i="1"/>
  <c r="AB91" i="1"/>
  <c r="AB119" i="1"/>
  <c r="AB120" i="1"/>
  <c r="AB121" i="1"/>
  <c r="AB152" i="1"/>
  <c r="AB153" i="1"/>
  <c r="AB154" i="1"/>
  <c r="AB185" i="1"/>
  <c r="AB186" i="1"/>
  <c r="AB187" i="1"/>
  <c r="AB215" i="1"/>
  <c r="AB216" i="1"/>
  <c r="AB217" i="1"/>
  <c r="AB245" i="1"/>
  <c r="AB246" i="1"/>
  <c r="AB247" i="1"/>
  <c r="AB275" i="1"/>
  <c r="AB276" i="1"/>
  <c r="AB277" i="1"/>
  <c r="AB305" i="1"/>
  <c r="AB306" i="1"/>
  <c r="AB307" i="1"/>
  <c r="AB335" i="1"/>
  <c r="AB336" i="1"/>
  <c r="AB337" i="1"/>
  <c r="AB365" i="1"/>
  <c r="AB366" i="1"/>
  <c r="AB367" i="1"/>
  <c r="AB26" i="1"/>
  <c r="AB27" i="1"/>
  <c r="AB28" i="1"/>
  <c r="AB59" i="1"/>
  <c r="AB60" i="1"/>
  <c r="AB61" i="1"/>
  <c r="AB92" i="1"/>
  <c r="AB93" i="1"/>
  <c r="AB94" i="1"/>
  <c r="AB122" i="1"/>
  <c r="AB123" i="1"/>
  <c r="AB124" i="1"/>
  <c r="AB155" i="1"/>
  <c r="AB156" i="1"/>
  <c r="AB157" i="1"/>
  <c r="AB188" i="1"/>
  <c r="AB189" i="1"/>
  <c r="AB190" i="1"/>
  <c r="AB218" i="1"/>
  <c r="AB219" i="1"/>
  <c r="AB220" i="1"/>
  <c r="AB248" i="1"/>
  <c r="AB249" i="1"/>
  <c r="AB250" i="1"/>
  <c r="AB278" i="1"/>
  <c r="AB279" i="1"/>
  <c r="AB280" i="1"/>
  <c r="AB308" i="1"/>
  <c r="AB309" i="1"/>
  <c r="AB310" i="1"/>
  <c r="AB338" i="1"/>
  <c r="AB339" i="1"/>
  <c r="AB340" i="1"/>
  <c r="AB368" i="1"/>
  <c r="AB369" i="1"/>
  <c r="AB370" i="1"/>
  <c r="AB29" i="1"/>
  <c r="AB30" i="1"/>
  <c r="AB31" i="1"/>
  <c r="AB62" i="1"/>
  <c r="AB63" i="1"/>
  <c r="AB64" i="1"/>
  <c r="AB95" i="1"/>
  <c r="AB96" i="1"/>
  <c r="AB97" i="1"/>
  <c r="AB125" i="1"/>
  <c r="AB126" i="1"/>
  <c r="AB127" i="1"/>
  <c r="AB158" i="1"/>
  <c r="AB159" i="1"/>
  <c r="AB160" i="1"/>
  <c r="AB191" i="1"/>
  <c r="AB192" i="1"/>
  <c r="AB193" i="1"/>
  <c r="AB221" i="1"/>
  <c r="AB222" i="1"/>
  <c r="AB223" i="1"/>
  <c r="AB251" i="1"/>
  <c r="AB252" i="1"/>
  <c r="AB253" i="1"/>
  <c r="AB281" i="1"/>
  <c r="AB282" i="1"/>
  <c r="AB283" i="1"/>
  <c r="AB311" i="1"/>
  <c r="AB312" i="1"/>
  <c r="AB313" i="1"/>
  <c r="AB341" i="1"/>
  <c r="AB342" i="1"/>
  <c r="AB343" i="1"/>
  <c r="AB371" i="1"/>
  <c r="AB372" i="1"/>
  <c r="AB373" i="1"/>
  <c r="AB32" i="1"/>
  <c r="AB33" i="1"/>
  <c r="AB34" i="1"/>
  <c r="AB65" i="1"/>
  <c r="AB66" i="1"/>
  <c r="AB67" i="1"/>
  <c r="AB98" i="1"/>
  <c r="AB99" i="1"/>
  <c r="AB100" i="1"/>
  <c r="AB128" i="1"/>
  <c r="AB129" i="1"/>
  <c r="AB130" i="1"/>
  <c r="AB161" i="1"/>
  <c r="AB162" i="1"/>
  <c r="AB163" i="1"/>
  <c r="AB3" i="1"/>
  <c r="Y4" i="1"/>
  <c r="Y35" i="1"/>
  <c r="Y36" i="1"/>
  <c r="Y37" i="1"/>
  <c r="Y68" i="1"/>
  <c r="Y69" i="1"/>
  <c r="Y70" i="1"/>
  <c r="Y101" i="1"/>
  <c r="Y102" i="1"/>
  <c r="Y103" i="1"/>
  <c r="Y131" i="1"/>
  <c r="Y132" i="1"/>
  <c r="Y133" i="1"/>
  <c r="Y164" i="1"/>
  <c r="Y165" i="1"/>
  <c r="Y166" i="1"/>
  <c r="Y194" i="1"/>
  <c r="Y195" i="1"/>
  <c r="Y196" i="1"/>
  <c r="Y224" i="1"/>
  <c r="Y225" i="1"/>
  <c r="Y226" i="1"/>
  <c r="Y254" i="1"/>
  <c r="Y255" i="1"/>
  <c r="Y256" i="1"/>
  <c r="Y284" i="1"/>
  <c r="Y285" i="1"/>
  <c r="Y286" i="1"/>
  <c r="Y314" i="1"/>
  <c r="Y315" i="1"/>
  <c r="Y316" i="1"/>
  <c r="Y344" i="1"/>
  <c r="Y345" i="1"/>
  <c r="Y346" i="1"/>
  <c r="Y5" i="1"/>
  <c r="Y6" i="1"/>
  <c r="Y7" i="1"/>
  <c r="Y38" i="1"/>
  <c r="Y39" i="1"/>
  <c r="Y40" i="1"/>
  <c r="Y71" i="1"/>
  <c r="Y72" i="1"/>
  <c r="Y73" i="1"/>
  <c r="Y104" i="1"/>
  <c r="Y105" i="1"/>
  <c r="Y106" i="1"/>
  <c r="Y134" i="1"/>
  <c r="Y135" i="1"/>
  <c r="Y136" i="1"/>
  <c r="Y167" i="1"/>
  <c r="Y168" i="1"/>
  <c r="Y169" i="1"/>
  <c r="Y197" i="1"/>
  <c r="Y198" i="1"/>
  <c r="Y199" i="1"/>
  <c r="Y227" i="1"/>
  <c r="Y228" i="1"/>
  <c r="Y229" i="1"/>
  <c r="Y257" i="1"/>
  <c r="Y258" i="1"/>
  <c r="Y259" i="1"/>
  <c r="Y287" i="1"/>
  <c r="Y288" i="1"/>
  <c r="Y289" i="1"/>
  <c r="Y317" i="1"/>
  <c r="Y318" i="1"/>
  <c r="Y319" i="1"/>
  <c r="Y347" i="1"/>
  <c r="Y348" i="1"/>
  <c r="Y349" i="1"/>
  <c r="Y8" i="1"/>
  <c r="Y9" i="1"/>
  <c r="Y10" i="1"/>
  <c r="Y41" i="1"/>
  <c r="Y42" i="1"/>
  <c r="Y43" i="1"/>
  <c r="Y74" i="1"/>
  <c r="Y75" i="1"/>
  <c r="Y76" i="1"/>
  <c r="Y107" i="1"/>
  <c r="Y108" i="1"/>
  <c r="Y109" i="1"/>
  <c r="Y137" i="1"/>
  <c r="Y138" i="1"/>
  <c r="Y139" i="1"/>
  <c r="Y170" i="1"/>
  <c r="Y171" i="1"/>
  <c r="Y172" i="1"/>
  <c r="Y200" i="1"/>
  <c r="Y201" i="1"/>
  <c r="Y202" i="1"/>
  <c r="Y230" i="1"/>
  <c r="Y231" i="1"/>
  <c r="Y232" i="1"/>
  <c r="Y260" i="1"/>
  <c r="Y261" i="1"/>
  <c r="Y262" i="1"/>
  <c r="Y290" i="1"/>
  <c r="Y291" i="1"/>
  <c r="Y292" i="1"/>
  <c r="Y320" i="1"/>
  <c r="Y321" i="1"/>
  <c r="Y322" i="1"/>
  <c r="Y350" i="1"/>
  <c r="Y351" i="1"/>
  <c r="Y352" i="1"/>
  <c r="Y11" i="1"/>
  <c r="Y12" i="1"/>
  <c r="Y13" i="1"/>
  <c r="Y44" i="1"/>
  <c r="Y45" i="1"/>
  <c r="Y46" i="1"/>
  <c r="Y77" i="1"/>
  <c r="Y78" i="1"/>
  <c r="Y79" i="1"/>
  <c r="Y110" i="1"/>
  <c r="Y111" i="1"/>
  <c r="Y112" i="1"/>
  <c r="Y140" i="1"/>
  <c r="Y141" i="1"/>
  <c r="Y142" i="1"/>
  <c r="Y173" i="1"/>
  <c r="Y174" i="1"/>
  <c r="Y175" i="1"/>
  <c r="Y203" i="1"/>
  <c r="Y204" i="1"/>
  <c r="Y205" i="1"/>
  <c r="Y233" i="1"/>
  <c r="Y234" i="1"/>
  <c r="Y235" i="1"/>
  <c r="Y263" i="1"/>
  <c r="Y264" i="1"/>
  <c r="Y265" i="1"/>
  <c r="Y293" i="1"/>
  <c r="Y294" i="1"/>
  <c r="Y295" i="1"/>
  <c r="Y323" i="1"/>
  <c r="Y324" i="1"/>
  <c r="Y325" i="1"/>
  <c r="Y353" i="1"/>
  <c r="Y354" i="1"/>
  <c r="Y355" i="1"/>
  <c r="Y14" i="1"/>
  <c r="Y15" i="1"/>
  <c r="Y16" i="1"/>
  <c r="Y47" i="1"/>
  <c r="Y48" i="1"/>
  <c r="Y49" i="1"/>
  <c r="Y80" i="1"/>
  <c r="Y81" i="1"/>
  <c r="Y82" i="1"/>
  <c r="Y113" i="1"/>
  <c r="Y114" i="1"/>
  <c r="Y115" i="1"/>
  <c r="Y143" i="1"/>
  <c r="Y144" i="1"/>
  <c r="Y145" i="1"/>
  <c r="Y176" i="1"/>
  <c r="Y177" i="1"/>
  <c r="Y178" i="1"/>
  <c r="Y206" i="1"/>
  <c r="Y207" i="1"/>
  <c r="Y208" i="1"/>
  <c r="Y236" i="1"/>
  <c r="Y237" i="1"/>
  <c r="Y238" i="1"/>
  <c r="Y266" i="1"/>
  <c r="Y267" i="1"/>
  <c r="Y268" i="1"/>
  <c r="Y296" i="1"/>
  <c r="Y297" i="1"/>
  <c r="Y298" i="1"/>
  <c r="Y326" i="1"/>
  <c r="Y327" i="1"/>
  <c r="Y328" i="1"/>
  <c r="Y356" i="1"/>
  <c r="Y357" i="1"/>
  <c r="Y358" i="1"/>
  <c r="Y17" i="1"/>
  <c r="Y18" i="1"/>
  <c r="Y19" i="1"/>
  <c r="Y50" i="1"/>
  <c r="Y51" i="1"/>
  <c r="Y52" i="1"/>
  <c r="Y83" i="1"/>
  <c r="Y84" i="1"/>
  <c r="Y85" i="1"/>
  <c r="Y116" i="1"/>
  <c r="Y117" i="1"/>
  <c r="Y118" i="1"/>
  <c r="Y146" i="1"/>
  <c r="Y147" i="1"/>
  <c r="Y148" i="1"/>
  <c r="Y179" i="1"/>
  <c r="Y180" i="1"/>
  <c r="Y181" i="1"/>
  <c r="Y209" i="1"/>
  <c r="Y210" i="1"/>
  <c r="Y211" i="1"/>
  <c r="Y239" i="1"/>
  <c r="Y240" i="1"/>
  <c r="Y241" i="1"/>
  <c r="Y269" i="1"/>
  <c r="Y270" i="1"/>
  <c r="Y271" i="1"/>
  <c r="Y299" i="1"/>
  <c r="Y300" i="1"/>
  <c r="Y301" i="1"/>
  <c r="Y329" i="1"/>
  <c r="Y330" i="1"/>
  <c r="Y331" i="1"/>
  <c r="Y359" i="1"/>
  <c r="Y360" i="1"/>
  <c r="Y361" i="1"/>
  <c r="Y20" i="1"/>
  <c r="Y21" i="1"/>
  <c r="Y22" i="1"/>
  <c r="Y53" i="1"/>
  <c r="Y54" i="1"/>
  <c r="Y55" i="1"/>
  <c r="Y86" i="1"/>
  <c r="Y87" i="1"/>
  <c r="Y88" i="1"/>
  <c r="Y149" i="1"/>
  <c r="Y150" i="1"/>
  <c r="Y151" i="1"/>
  <c r="Y182" i="1"/>
  <c r="Y183" i="1"/>
  <c r="Y184" i="1"/>
  <c r="Y212" i="1"/>
  <c r="Y213" i="1"/>
  <c r="Y214" i="1"/>
  <c r="Y242" i="1"/>
  <c r="Y243" i="1"/>
  <c r="Y244" i="1"/>
  <c r="Y272" i="1"/>
  <c r="Y273" i="1"/>
  <c r="Y274" i="1"/>
  <c r="Y302" i="1"/>
  <c r="Y303" i="1"/>
  <c r="Y304" i="1"/>
  <c r="Y332" i="1"/>
  <c r="Y333" i="1"/>
  <c r="Y334" i="1"/>
  <c r="Y362" i="1"/>
  <c r="Y363" i="1"/>
  <c r="Y364" i="1"/>
  <c r="Y23" i="1"/>
  <c r="Y24" i="1"/>
  <c r="Y25" i="1"/>
  <c r="Y56" i="1"/>
  <c r="Y57" i="1"/>
  <c r="Y58" i="1"/>
  <c r="Y89" i="1"/>
  <c r="Y90" i="1"/>
  <c r="Y91" i="1"/>
  <c r="Y119" i="1"/>
  <c r="Y120" i="1"/>
  <c r="Y121" i="1"/>
  <c r="Y152" i="1"/>
  <c r="Y153" i="1"/>
  <c r="Y154" i="1"/>
  <c r="Y185" i="1"/>
  <c r="Y186" i="1"/>
  <c r="Y187" i="1"/>
  <c r="Y215" i="1"/>
  <c r="Y216" i="1"/>
  <c r="Y217" i="1"/>
  <c r="Y245" i="1"/>
  <c r="Y246" i="1"/>
  <c r="Y247" i="1"/>
  <c r="Y275" i="1"/>
  <c r="Y276" i="1"/>
  <c r="Y277" i="1"/>
  <c r="Y305" i="1"/>
  <c r="Y306" i="1"/>
  <c r="Y307" i="1"/>
  <c r="Y335" i="1"/>
  <c r="Y336" i="1"/>
  <c r="Y337" i="1"/>
  <c r="Y365" i="1"/>
  <c r="Y366" i="1"/>
  <c r="Y367" i="1"/>
  <c r="Y26" i="1"/>
  <c r="Y27" i="1"/>
  <c r="Y28" i="1"/>
  <c r="Y59" i="1"/>
  <c r="Y60" i="1"/>
  <c r="Y61" i="1"/>
  <c r="Y92" i="1"/>
  <c r="Y93" i="1"/>
  <c r="Y94" i="1"/>
  <c r="Y122" i="1"/>
  <c r="Y123" i="1"/>
  <c r="Y124" i="1"/>
  <c r="Y155" i="1"/>
  <c r="Y156" i="1"/>
  <c r="Y157" i="1"/>
  <c r="Y188" i="1"/>
  <c r="Y189" i="1"/>
  <c r="Y190" i="1"/>
  <c r="Y218" i="1"/>
  <c r="Y219" i="1"/>
  <c r="Y220" i="1"/>
  <c r="Y248" i="1"/>
  <c r="Y249" i="1"/>
  <c r="Y250" i="1"/>
  <c r="Y278" i="1"/>
  <c r="Y279" i="1"/>
  <c r="Y280" i="1"/>
  <c r="Y308" i="1"/>
  <c r="Y309" i="1"/>
  <c r="Y310" i="1"/>
  <c r="Y338" i="1"/>
  <c r="Y339" i="1"/>
  <c r="Y340" i="1"/>
  <c r="Y368" i="1"/>
  <c r="Y369" i="1"/>
  <c r="Y370" i="1"/>
  <c r="Y29" i="1"/>
  <c r="Y30" i="1"/>
  <c r="Y31" i="1"/>
  <c r="Y62" i="1"/>
  <c r="Y63" i="1"/>
  <c r="Y64" i="1"/>
  <c r="Y95" i="1"/>
  <c r="Y96" i="1"/>
  <c r="Y97" i="1"/>
  <c r="Y125" i="1"/>
  <c r="Y126" i="1"/>
  <c r="Y127" i="1"/>
  <c r="Y158" i="1"/>
  <c r="Y159" i="1"/>
  <c r="Y160" i="1"/>
  <c r="Y191" i="1"/>
  <c r="Y192" i="1"/>
  <c r="Y193" i="1"/>
  <c r="Y221" i="1"/>
  <c r="Y222" i="1"/>
  <c r="Y223" i="1"/>
  <c r="Y251" i="1"/>
  <c r="Y252" i="1"/>
  <c r="Y253" i="1"/>
  <c r="Y281" i="1"/>
  <c r="Y282" i="1"/>
  <c r="Y283" i="1"/>
  <c r="Y311" i="1"/>
  <c r="Y312" i="1"/>
  <c r="Y313" i="1"/>
  <c r="Y341" i="1"/>
  <c r="Y342" i="1"/>
  <c r="Y343" i="1"/>
  <c r="Y371" i="1"/>
  <c r="Y372" i="1"/>
  <c r="Y373" i="1"/>
  <c r="Y32" i="1"/>
  <c r="Y33" i="1"/>
  <c r="Y34" i="1"/>
  <c r="Y65" i="1"/>
  <c r="Y66" i="1"/>
  <c r="Y67" i="1"/>
  <c r="Y98" i="1"/>
  <c r="Y99" i="1"/>
  <c r="Y100" i="1"/>
  <c r="Y128" i="1"/>
  <c r="Y129" i="1"/>
  <c r="Y130" i="1"/>
  <c r="Y161" i="1"/>
  <c r="Y162" i="1"/>
  <c r="Y163" i="1"/>
  <c r="Y3" i="1"/>
  <c r="R4" i="1"/>
  <c r="R35" i="1"/>
  <c r="R36" i="1"/>
  <c r="R37" i="1"/>
  <c r="R68" i="1"/>
  <c r="R69" i="1"/>
  <c r="R70" i="1"/>
  <c r="R101" i="1"/>
  <c r="R102" i="1"/>
  <c r="R103" i="1"/>
  <c r="R131" i="1"/>
  <c r="R132" i="1"/>
  <c r="R133" i="1"/>
  <c r="R164" i="1"/>
  <c r="R165" i="1"/>
  <c r="R166" i="1"/>
  <c r="R194" i="1"/>
  <c r="R195" i="1"/>
  <c r="R196" i="1"/>
  <c r="R224" i="1"/>
  <c r="R225" i="1"/>
  <c r="R226" i="1"/>
  <c r="R254" i="1"/>
  <c r="R255" i="1"/>
  <c r="R256" i="1"/>
  <c r="R284" i="1"/>
  <c r="R285" i="1"/>
  <c r="R286" i="1"/>
  <c r="R314" i="1"/>
  <c r="R315" i="1"/>
  <c r="R316" i="1"/>
  <c r="R344" i="1"/>
  <c r="R345" i="1"/>
  <c r="R346" i="1"/>
  <c r="R5" i="1"/>
  <c r="R6" i="1"/>
  <c r="R7" i="1"/>
  <c r="R38" i="1"/>
  <c r="R39" i="1"/>
  <c r="R40" i="1"/>
  <c r="R71" i="1"/>
  <c r="R72" i="1"/>
  <c r="R73" i="1"/>
  <c r="R104" i="1"/>
  <c r="R105" i="1"/>
  <c r="R106" i="1"/>
  <c r="R134" i="1"/>
  <c r="R135" i="1"/>
  <c r="R136" i="1"/>
  <c r="R167" i="1"/>
  <c r="R168" i="1"/>
  <c r="R169" i="1"/>
  <c r="R197" i="1"/>
  <c r="R198" i="1"/>
  <c r="R199" i="1"/>
  <c r="R227" i="1"/>
  <c r="R228" i="1"/>
  <c r="R229" i="1"/>
  <c r="R257" i="1"/>
  <c r="R258" i="1"/>
  <c r="R259" i="1"/>
  <c r="R287" i="1"/>
  <c r="R288" i="1"/>
  <c r="R289" i="1"/>
  <c r="R317" i="1"/>
  <c r="R318" i="1"/>
  <c r="R319" i="1"/>
  <c r="R347" i="1"/>
  <c r="R348" i="1"/>
  <c r="R349" i="1"/>
  <c r="R8" i="1"/>
  <c r="R9" i="1"/>
  <c r="R10" i="1"/>
  <c r="R41" i="1"/>
  <c r="R42" i="1"/>
  <c r="R43" i="1"/>
  <c r="R74" i="1"/>
  <c r="R75" i="1"/>
  <c r="R76" i="1"/>
  <c r="R107" i="1"/>
  <c r="R108" i="1"/>
  <c r="R109" i="1"/>
  <c r="R137" i="1"/>
  <c r="R138" i="1"/>
  <c r="R139" i="1"/>
  <c r="R170" i="1"/>
  <c r="R171" i="1"/>
  <c r="R172" i="1"/>
  <c r="R200" i="1"/>
  <c r="R201" i="1"/>
  <c r="R202" i="1"/>
  <c r="R230" i="1"/>
  <c r="R231" i="1"/>
  <c r="R232" i="1"/>
  <c r="R260" i="1"/>
  <c r="R261" i="1"/>
  <c r="R262" i="1"/>
  <c r="R290" i="1"/>
  <c r="R291" i="1"/>
  <c r="R292" i="1"/>
  <c r="R320" i="1"/>
  <c r="R321" i="1"/>
  <c r="R322" i="1"/>
  <c r="R350" i="1"/>
  <c r="R351" i="1"/>
  <c r="R352" i="1"/>
  <c r="R11" i="1"/>
  <c r="R12" i="1"/>
  <c r="R13" i="1"/>
  <c r="R44" i="1"/>
  <c r="R45" i="1"/>
  <c r="R46" i="1"/>
  <c r="R77" i="1"/>
  <c r="R78" i="1"/>
  <c r="R79" i="1"/>
  <c r="R110" i="1"/>
  <c r="R111" i="1"/>
  <c r="R112" i="1"/>
  <c r="R140" i="1"/>
  <c r="R141" i="1"/>
  <c r="R142" i="1"/>
  <c r="R173" i="1"/>
  <c r="R174" i="1"/>
  <c r="R175" i="1"/>
  <c r="R203" i="1"/>
  <c r="R204" i="1"/>
  <c r="R205" i="1"/>
  <c r="R233" i="1"/>
  <c r="R234" i="1"/>
  <c r="R235" i="1"/>
  <c r="R263" i="1"/>
  <c r="R264" i="1"/>
  <c r="R265" i="1"/>
  <c r="R293" i="1"/>
  <c r="R294" i="1"/>
  <c r="R295" i="1"/>
  <c r="R323" i="1"/>
  <c r="R324" i="1"/>
  <c r="R325" i="1"/>
  <c r="R353" i="1"/>
  <c r="R354" i="1"/>
  <c r="R355" i="1"/>
  <c r="R14" i="1"/>
  <c r="R15" i="1"/>
  <c r="R16" i="1"/>
  <c r="R47" i="1"/>
  <c r="R48" i="1"/>
  <c r="R49" i="1"/>
  <c r="R80" i="1"/>
  <c r="R81" i="1"/>
  <c r="R82" i="1"/>
  <c r="R113" i="1"/>
  <c r="R114" i="1"/>
  <c r="R115" i="1"/>
  <c r="R143" i="1"/>
  <c r="R144" i="1"/>
  <c r="R145" i="1"/>
  <c r="R176" i="1"/>
  <c r="R177" i="1"/>
  <c r="R178" i="1"/>
  <c r="R206" i="1"/>
  <c r="R207" i="1"/>
  <c r="R208" i="1"/>
  <c r="R236" i="1"/>
  <c r="R237" i="1"/>
  <c r="R238" i="1"/>
  <c r="R266" i="1"/>
  <c r="R267" i="1"/>
  <c r="R268" i="1"/>
  <c r="R296" i="1"/>
  <c r="R297" i="1"/>
  <c r="R298" i="1"/>
  <c r="R326" i="1"/>
  <c r="R327" i="1"/>
  <c r="R328" i="1"/>
  <c r="R356" i="1"/>
  <c r="R357" i="1"/>
  <c r="R358" i="1"/>
  <c r="R17" i="1"/>
  <c r="R18" i="1"/>
  <c r="R19" i="1"/>
  <c r="R50" i="1"/>
  <c r="R51" i="1"/>
  <c r="R52" i="1"/>
  <c r="R83" i="1"/>
  <c r="R84" i="1"/>
  <c r="R85" i="1"/>
  <c r="R116" i="1"/>
  <c r="R117" i="1"/>
  <c r="R118" i="1"/>
  <c r="R146" i="1"/>
  <c r="R147" i="1"/>
  <c r="R148" i="1"/>
  <c r="R179" i="1"/>
  <c r="R180" i="1"/>
  <c r="R181" i="1"/>
  <c r="R209" i="1"/>
  <c r="R210" i="1"/>
  <c r="R211" i="1"/>
  <c r="R239" i="1"/>
  <c r="R240" i="1"/>
  <c r="R241" i="1"/>
  <c r="R269" i="1"/>
  <c r="R270" i="1"/>
  <c r="R271" i="1"/>
  <c r="R299" i="1"/>
  <c r="R300" i="1"/>
  <c r="R301" i="1"/>
  <c r="R329" i="1"/>
  <c r="R330" i="1"/>
  <c r="R331" i="1"/>
  <c r="R359" i="1"/>
  <c r="R360" i="1"/>
  <c r="R361" i="1"/>
  <c r="R20" i="1"/>
  <c r="R21" i="1"/>
  <c r="R22" i="1"/>
  <c r="R53" i="1"/>
  <c r="R54" i="1"/>
  <c r="R55" i="1"/>
  <c r="R86" i="1"/>
  <c r="R87" i="1"/>
  <c r="R88" i="1"/>
  <c r="R149" i="1"/>
  <c r="R150" i="1"/>
  <c r="R151" i="1"/>
  <c r="R182" i="1"/>
  <c r="R183" i="1"/>
  <c r="R184" i="1"/>
  <c r="R212" i="1"/>
  <c r="R213" i="1"/>
  <c r="R214" i="1"/>
  <c r="R242" i="1"/>
  <c r="R243" i="1"/>
  <c r="R244" i="1"/>
  <c r="R272" i="1"/>
  <c r="R273" i="1"/>
  <c r="R274" i="1"/>
  <c r="R302" i="1"/>
  <c r="R303" i="1"/>
  <c r="R304" i="1"/>
  <c r="R332" i="1"/>
  <c r="R333" i="1"/>
  <c r="R334" i="1"/>
  <c r="R362" i="1"/>
  <c r="R363" i="1"/>
  <c r="R364" i="1"/>
  <c r="R23" i="1"/>
  <c r="R24" i="1"/>
  <c r="R25" i="1"/>
  <c r="R56" i="1"/>
  <c r="R57" i="1"/>
  <c r="R58" i="1"/>
  <c r="R89" i="1"/>
  <c r="R90" i="1"/>
  <c r="R91" i="1"/>
  <c r="R119" i="1"/>
  <c r="R120" i="1"/>
  <c r="R121" i="1"/>
  <c r="R152" i="1"/>
  <c r="R153" i="1"/>
  <c r="R154" i="1"/>
  <c r="R185" i="1"/>
  <c r="R186" i="1"/>
  <c r="R187" i="1"/>
  <c r="R215" i="1"/>
  <c r="R216" i="1"/>
  <c r="R217" i="1"/>
  <c r="R245" i="1"/>
  <c r="R246" i="1"/>
  <c r="R247" i="1"/>
  <c r="R275" i="1"/>
  <c r="R276" i="1"/>
  <c r="R277" i="1"/>
  <c r="R305" i="1"/>
  <c r="R306" i="1"/>
  <c r="R307" i="1"/>
  <c r="R335" i="1"/>
  <c r="R336" i="1"/>
  <c r="R337" i="1"/>
  <c r="R365" i="1"/>
  <c r="R366" i="1"/>
  <c r="R367" i="1"/>
  <c r="R26" i="1"/>
  <c r="R27" i="1"/>
  <c r="R28" i="1"/>
  <c r="R59" i="1"/>
  <c r="R60" i="1"/>
  <c r="R61" i="1"/>
  <c r="R92" i="1"/>
  <c r="R93" i="1"/>
  <c r="R94" i="1"/>
  <c r="R122" i="1"/>
  <c r="R123" i="1"/>
  <c r="R124" i="1"/>
  <c r="R155" i="1"/>
  <c r="R156" i="1"/>
  <c r="R157" i="1"/>
  <c r="R188" i="1"/>
  <c r="R189" i="1"/>
  <c r="R190" i="1"/>
  <c r="R218" i="1"/>
  <c r="R219" i="1"/>
  <c r="R220" i="1"/>
  <c r="R248" i="1"/>
  <c r="R249" i="1"/>
  <c r="R250" i="1"/>
  <c r="R278" i="1"/>
  <c r="R279" i="1"/>
  <c r="R280" i="1"/>
  <c r="R308" i="1"/>
  <c r="R309" i="1"/>
  <c r="R310" i="1"/>
  <c r="R338" i="1"/>
  <c r="R339" i="1"/>
  <c r="R340" i="1"/>
  <c r="R368" i="1"/>
  <c r="R369" i="1"/>
  <c r="R370" i="1"/>
  <c r="R29" i="1"/>
  <c r="R30" i="1"/>
  <c r="R31" i="1"/>
  <c r="R62" i="1"/>
  <c r="R63" i="1"/>
  <c r="R64" i="1"/>
  <c r="R95" i="1"/>
  <c r="R96" i="1"/>
  <c r="R97" i="1"/>
  <c r="R125" i="1"/>
  <c r="R126" i="1"/>
  <c r="R127" i="1"/>
  <c r="R158" i="1"/>
  <c r="R159" i="1"/>
  <c r="R160" i="1"/>
  <c r="R191" i="1"/>
  <c r="R192" i="1"/>
  <c r="R193" i="1"/>
  <c r="R221" i="1"/>
  <c r="R222" i="1"/>
  <c r="R223" i="1"/>
  <c r="R251" i="1"/>
  <c r="R252" i="1"/>
  <c r="R253" i="1"/>
  <c r="R281" i="1"/>
  <c r="R282" i="1"/>
  <c r="R283" i="1"/>
  <c r="R311" i="1"/>
  <c r="R312" i="1"/>
  <c r="R313" i="1"/>
  <c r="R341" i="1"/>
  <c r="R342" i="1"/>
  <c r="R343" i="1"/>
  <c r="R371" i="1"/>
  <c r="R372" i="1"/>
  <c r="R373" i="1"/>
  <c r="R32" i="1"/>
  <c r="R33" i="1"/>
  <c r="R34" i="1"/>
  <c r="R65" i="1"/>
  <c r="R66" i="1"/>
  <c r="R67" i="1"/>
  <c r="R98" i="1"/>
  <c r="R99" i="1"/>
  <c r="R100" i="1"/>
  <c r="R128" i="1"/>
  <c r="R129" i="1"/>
  <c r="R130" i="1"/>
  <c r="R161" i="1"/>
  <c r="R162" i="1"/>
  <c r="R163" i="1"/>
  <c r="R3" i="1"/>
  <c r="E20" i="9"/>
  <c r="E21" i="9"/>
  <c r="N5" i="4"/>
  <c r="E22" i="9"/>
  <c r="AJ3" i="1" l="1"/>
  <c r="O5" i="4"/>
  <c r="P5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<sst xmlns="http://schemas.openxmlformats.org/spreadsheetml/2006/main" count="1365" uniqueCount="140">
  <si>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</si>
  <si>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</si>
  <si>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</si>
  <si>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</si>
  <si>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</si>
  <si>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</si>
  <si>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</si>
  <si>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</si>
  <si>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</si>
  <si>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</si>
  <si>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</si>
  <si>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</si>
  <si>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</si>
  <si>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</si>
  <si>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</si>
  <si>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</si>
  <si>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</si>
  <si>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</si>
  <si>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</si>
  <si>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</si>
  <si>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</si>
  <si>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</si>
  <si>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</si>
  <si>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</si>
  <si>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</si>
  <si>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</si>
  <si>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</si>
  <si>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</si>
  <si>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</si>
  <si>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</si>
  <si>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</si>
  <si>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NA</t>
  </si>
  <si>
    <t>Urban</t>
  </si>
  <si>
    <t>Rural+Urban</t>
  </si>
  <si>
    <t>May</t>
  </si>
  <si>
    <t>Date</t>
  </si>
  <si>
    <t>May-2023</t>
  </si>
  <si>
    <t>Row Labels</t>
  </si>
  <si>
    <t>Grand Total</t>
  </si>
  <si>
    <t>Average of General index</t>
  </si>
  <si>
    <t>Steady growth</t>
  </si>
  <si>
    <t>monthly changes</t>
  </si>
  <si>
    <t xml:space="preserve">Biggest month rise = </t>
  </si>
  <si>
    <t>Biggest month fail =</t>
  </si>
  <si>
    <t>High volatile between 2020</t>
  </si>
  <si>
    <t>stdv</t>
  </si>
  <si>
    <t>Vegetables index is the highest volatile across all months and showing peaks inflation in 2020</t>
  </si>
  <si>
    <t>Average of Food and beverages</t>
  </si>
  <si>
    <t>Average of Health</t>
  </si>
  <si>
    <t>Average of Fuel and light</t>
  </si>
  <si>
    <t>(All)</t>
  </si>
  <si>
    <t>Column Labels</t>
  </si>
  <si>
    <t>Values</t>
  </si>
  <si>
    <t>inflation rate food</t>
  </si>
  <si>
    <t>inflation rate fuel and light</t>
  </si>
  <si>
    <t>inflation rate health</t>
  </si>
  <si>
    <t>Food</t>
  </si>
  <si>
    <t>Fuel &amp; Light</t>
  </si>
  <si>
    <t>Health_</t>
  </si>
  <si>
    <t>Pre-COVID</t>
  </si>
  <si>
    <t>Post-COVID</t>
  </si>
  <si>
    <t>CPI levels increased across all the categories post COVID</t>
  </si>
  <si>
    <t>Overall 20-25% increase in inflation post COVID in all the categories</t>
  </si>
  <si>
    <t>The increase suggests prolonged inflationary pressure during and after the pandemic period.</t>
  </si>
  <si>
    <t>in December 21 The fuel inflation is majorly spikes and across with it all other category infltion also spikes</t>
  </si>
  <si>
    <t>fuel and transport inflation showing very strong correlation indicates the impact of fuel prices on transportation</t>
  </si>
  <si>
    <t>Here the analysis suggest fuel prices acted as major driver of overall inflation trends</t>
  </si>
  <si>
    <t>Highest Inflation Year</t>
  </si>
  <si>
    <t>Post COVID Avg CPI</t>
  </si>
  <si>
    <t>Yearly Average Inflation</t>
  </si>
  <si>
    <t>Major Inflation Driver Category</t>
  </si>
  <si>
    <t>:-</t>
  </si>
  <si>
    <t xml:space="preserve">primarily driven by Supply-chain disrupt. </t>
  </si>
  <si>
    <t>Food Inflation showed major Volatility during 2020 due to COVID-19,</t>
  </si>
  <si>
    <t>Insights</t>
  </si>
  <si>
    <t>Fuel</t>
  </si>
  <si>
    <t>Transport</t>
  </si>
  <si>
    <t>General</t>
  </si>
  <si>
    <t>CPI levels increased across all the categories post COVID.</t>
  </si>
  <si>
    <t>during and after the pandemic period.</t>
  </si>
  <si>
    <t>December-2021 showed majorly spikes in the Fuel inflation.</t>
  </si>
  <si>
    <t xml:space="preserve"> for the broader food category.</t>
  </si>
  <si>
    <t>1) June-2014 with the Highest food inflation Rate.</t>
  </si>
  <si>
    <t>2) November-2013 with the Lowest food inflation Rate.</t>
  </si>
  <si>
    <t>3) 0.2% Absolute changes in the inflation over the last 12 months,</t>
  </si>
  <si>
    <t>1) Overall 20-25% average CPI increase in inflation post COVID.</t>
  </si>
  <si>
    <t>2) The increase suggests prolonged inflationary pressure,</t>
  </si>
  <si>
    <t>1) Fuel and Transport inflation showing very strong correlation(0.98),</t>
  </si>
  <si>
    <t>2) indicates the impact of fuel prices in increase of  transportation coast.</t>
  </si>
  <si>
    <t>3) As per the analysis , Fuel prices are majorly deriving all other categories.</t>
  </si>
  <si>
    <t>:- Conclusion</t>
  </si>
  <si>
    <t>2) Inflation spikes observed in 2014 , and post COVID.</t>
  </si>
  <si>
    <t>1) India's CPI index shows moderately growth from 2013 to 2023</t>
  </si>
  <si>
    <t>3) Food Inflation experienced High Volatily nearby 2020,</t>
  </si>
  <si>
    <t xml:space="preserve"> due to supply-chain disruptions.</t>
  </si>
  <si>
    <t>4) Crude Oil / Fuel emerged as one of the stronger contributer &amp; majorly,</t>
  </si>
  <si>
    <t xml:space="preserve"> driving all other categories.</t>
  </si>
  <si>
    <t>sustained healthcare coast increase .</t>
  </si>
  <si>
    <t xml:space="preserve">5) Health related CPI remained elevated after COVID-19 , indicating </t>
  </si>
  <si>
    <t>on overall inflation behaviour.</t>
  </si>
  <si>
    <t>6) The Analysis highlights the impact of global events and supply disruptions</t>
  </si>
  <si>
    <t>As per current ongoing year this is the category contribution</t>
  </si>
  <si>
    <t>for the major category buckets towards CPI.</t>
  </si>
  <si>
    <t xml:space="preserve">       Project By - Ayush Jain</t>
  </si>
  <si>
    <t>Year on Year Growth trend showed 2014 &amp; 2022 as the highest inflation rate growth year,</t>
  </si>
  <si>
    <t>2014 &amp; 2022</t>
  </si>
  <si>
    <t>Average of Vegetables</t>
  </si>
  <si>
    <t>average rural sector</t>
  </si>
  <si>
    <t>Product name</t>
  </si>
  <si>
    <t>A</t>
  </si>
  <si>
    <t>B</t>
  </si>
  <si>
    <t>C</t>
  </si>
  <si>
    <t>D</t>
  </si>
  <si>
    <t>Jan</t>
  </si>
  <si>
    <t>Feb</t>
  </si>
  <si>
    <t>Mar</t>
  </si>
  <si>
    <t>Apr</t>
  </si>
  <si>
    <t>Value</t>
  </si>
  <si>
    <t>Name</t>
  </si>
  <si>
    <t>Ayush Jain</t>
  </si>
  <si>
    <t>Jai kumar</t>
  </si>
  <si>
    <t>primarily driven by rising rural wages &amp; sharply depreciation of rupee in 2014,</t>
  </si>
  <si>
    <t>Crude Oil price increases due to Russia-Ukraine War in 2022.</t>
  </si>
  <si>
    <t>&lt;2016</t>
  </si>
  <si>
    <t>2016-2019</t>
  </si>
  <si>
    <t>2020-2023</t>
  </si>
  <si>
    <t>food categorwise analysis</t>
  </si>
  <si>
    <t>Flag</t>
  </si>
  <si>
    <t xml:space="preserve">urban </t>
  </si>
  <si>
    <t>dec</t>
  </si>
  <si>
    <t>averageif</t>
  </si>
  <si>
    <t>NAME</t>
  </si>
  <si>
    <t>John</t>
  </si>
  <si>
    <t>Sally</t>
  </si>
  <si>
    <t>Kevin</t>
  </si>
  <si>
    <t>Anna</t>
  </si>
  <si>
    <t>SALARY</t>
  </si>
  <si>
    <t>correction for current category wise contribution by combining all food categories</t>
  </si>
  <si>
    <t>for covid 19 take before 1 year and after 1 year</t>
  </si>
  <si>
    <t>Correction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</si>
</sst>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mmm\-yy;@"/>
    <numFmt numFmtId="165" formatCode="0.0%"/>
    <numFmt numFmtId="166" formatCode="0.000%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131619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61">
    <xf numFmtId="0" fontId="0" fillId="0" borderId="0" xfId="0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9" fontId="0" fillId="0" borderId="0" xfId="1" applyFont="1"/>
    <xf numFmtId="0" fontId="16" fillId="0" borderId="0" xfId="0" applyFont="1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10" fontId="0" fillId="0" borderId="0" xfId="1" applyNumberFormat="1" applyFon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9" fontId="0" fillId="0" borderId="0" xfId="1" applyNumberFormat="1" applyFont="1"/>
    <xf numFmtId="10" fontId="16" fillId="0" borderId="0" xfId="1" applyNumberFormat="1" applyFont="1"/>
    <xf numFmtId="166" fontId="0" fillId="0" borderId="0" xfId="0" applyNumberFormat="1"/>
    <xf numFmtId="165" fontId="0" fillId="0" borderId="0" xfId="1" applyNumberFormat="1" applyFont="1" applyAlignment="1">
      <alignment horizontal="center"/>
    </xf>
    <xf numFmtId="0" fontId="0" fillId="33" borderId="10" xfId="0" applyFill="1" applyBorder="1"/>
    <xf numFmtId="0" fontId="0" fillId="33" borderId="11" xfId="0" applyFill="1" applyBorder="1"/>
    <xf numFmtId="0" fontId="0" fillId="33" borderId="12" xfId="0" applyFill="1" applyBorder="1"/>
    <xf numFmtId="0" fontId="0" fillId="33" borderId="13" xfId="0" applyFill="1" applyBorder="1"/>
    <xf numFmtId="0" fontId="0" fillId="33" borderId="0" xfId="0" applyFill="1" applyBorder="1" applyAlignment="1"/>
    <xf numFmtId="0" fontId="0" fillId="33" borderId="0" xfId="0" applyFill="1" applyBorder="1"/>
    <xf numFmtId="0" fontId="0" fillId="33" borderId="14" xfId="0" applyFill="1" applyBorder="1"/>
    <xf numFmtId="0" fontId="16" fillId="33" borderId="0" xfId="0" applyFont="1" applyFill="1" applyBorder="1" applyAlignment="1">
      <alignment horizontal="right"/>
    </xf>
    <xf numFmtId="0" fontId="16" fillId="33" borderId="0" xfId="0" applyFont="1" applyFill="1" applyBorder="1"/>
    <xf numFmtId="0" fontId="0" fillId="33" borderId="15" xfId="0" applyFill="1" applyBorder="1"/>
    <xf numFmtId="0" fontId="0" fillId="33" borderId="16" xfId="0" applyFill="1" applyBorder="1"/>
    <xf numFmtId="0" fontId="0" fillId="33" borderId="17" xfId="0" applyFill="1" applyBorder="1"/>
    <xf numFmtId="0" fontId="19" fillId="33" borderId="10" xfId="0" applyFont="1" applyFill="1" applyBorder="1"/>
    <xf numFmtId="0" fontId="16" fillId="33" borderId="11" xfId="0" applyFont="1" applyFill="1" applyBorder="1"/>
    <xf numFmtId="0" fontId="16" fillId="33" borderId="13" xfId="0" applyFont="1" applyFill="1" applyBorder="1"/>
    <xf numFmtId="0" fontId="16" fillId="33" borderId="18" xfId="0" applyFont="1" applyFill="1" applyBorder="1"/>
    <xf numFmtId="0" fontId="0" fillId="33" borderId="19" xfId="0" applyFill="1" applyBorder="1"/>
    <xf numFmtId="0" fontId="0" fillId="33" borderId="20" xfId="0" applyFill="1" applyBorder="1"/>
    <xf numFmtId="0" fontId="18" fillId="34" borderId="10" xfId="43" applyNumberFormat="1" applyFont="1" applyFill="1" applyBorder="1" applyAlignment="1">
      <alignment horizontal="center" vertical="center"/>
    </xf>
    <xf numFmtId="0" fontId="18" fillId="34" borderId="11" xfId="43" applyNumberFormat="1" applyFont="1" applyFill="1" applyBorder="1" applyAlignment="1">
      <alignment horizontal="center" vertical="center"/>
    </xf>
    <xf numFmtId="0" fontId="18" fillId="34" borderId="12" xfId="43" applyNumberFormat="1" applyFont="1" applyFill="1" applyBorder="1" applyAlignment="1">
      <alignment horizontal="center" vertical="center"/>
    </xf>
    <xf numFmtId="0" fontId="18" fillId="34" borderId="13" xfId="43" applyNumberFormat="1" applyFont="1" applyFill="1" applyBorder="1" applyAlignment="1">
      <alignment horizontal="center" vertical="center"/>
    </xf>
    <xf numFmtId="0" fontId="18" fillId="34" borderId="0" xfId="43" applyNumberFormat="1" applyFont="1" applyFill="1" applyBorder="1" applyAlignment="1">
      <alignment horizontal="center" vertical="center"/>
    </xf>
    <xf numFmtId="0" fontId="18" fillId="34" borderId="14" xfId="43" applyNumberFormat="1" applyFont="1" applyFill="1" applyBorder="1" applyAlignment="1">
      <alignment horizontal="center" vertical="center"/>
    </xf>
    <xf numFmtId="0" fontId="18" fillId="34" borderId="15" xfId="43" applyNumberFormat="1" applyFont="1" applyFill="1" applyBorder="1" applyAlignment="1">
      <alignment horizontal="center" vertical="center"/>
    </xf>
    <xf numFmtId="0" fontId="18" fillId="34" borderId="16" xfId="43" applyNumberFormat="1" applyFont="1" applyFill="1" applyBorder="1" applyAlignment="1">
      <alignment horizontal="center" vertical="center"/>
    </xf>
    <xf numFmtId="0" fontId="18" fillId="34" borderId="17" xfId="43" applyNumberFormat="1" applyFont="1" applyFill="1" applyBorder="1" applyAlignment="1">
      <alignment horizontal="center" vertical="center"/>
    </xf>
    <xf numFmtId="10" fontId="18" fillId="34" borderId="10" xfId="0" applyNumberFormat="1" applyFont="1" applyFill="1" applyBorder="1" applyAlignment="1">
      <alignment horizontal="center" vertical="center"/>
    </xf>
    <xf numFmtId="0" fontId="18" fillId="34" borderId="11" xfId="0" applyFont="1" applyFill="1" applyBorder="1" applyAlignment="1">
      <alignment horizontal="center" vertical="center"/>
    </xf>
    <xf numFmtId="0" fontId="18" fillId="34" borderId="12" xfId="0" applyFont="1" applyFill="1" applyBorder="1" applyAlignment="1">
      <alignment horizontal="center" vertical="center"/>
    </xf>
    <xf numFmtId="0" fontId="18" fillId="34" borderId="13" xfId="0" applyFont="1" applyFill="1" applyBorder="1" applyAlignment="1">
      <alignment horizontal="center" vertical="center"/>
    </xf>
    <xf numFmtId="0" fontId="18" fillId="34" borderId="0" xfId="0" applyFont="1" applyFill="1" applyBorder="1" applyAlignment="1">
      <alignment horizontal="center" vertical="center"/>
    </xf>
    <xf numFmtId="0" fontId="18" fillId="34" borderId="14" xfId="0" applyFont="1" applyFill="1" applyBorder="1" applyAlignment="1">
      <alignment horizontal="center" vertical="center"/>
    </xf>
    <xf numFmtId="0" fontId="18" fillId="34" borderId="15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8" fillId="34" borderId="17" xfId="0" applyFont="1" applyFill="1" applyBorder="1" applyAlignment="1">
      <alignment horizontal="center" vertical="center"/>
    </xf>
    <xf numFmtId="0" fontId="20" fillId="33" borderId="16" xfId="0" applyFont="1" applyFill="1" applyBorder="1" applyAlignment="1">
      <alignment horizontal="center"/>
    </xf>
    <xf numFmtId="0" fontId="16" fillId="35" borderId="0" xfId="0" applyFont="1" applyFill="1"/>
    <xf numFmtId="0" fontId="16" fillId="36" borderId="0" xfId="0" applyFont="1" applyFill="1"/>
    <xf numFmtId="0" fontId="21" fillId="0" borderId="0" xfId="0" applyFont="1" applyAlignment="1">
      <alignment vertical="center"/>
    </xf>
    <xf numFmtId="0" fontId="0" fillId="0" borderId="0" xfId="0" applyFont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3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Year-on-Year(YoY) CPI</a:t>
            </a:r>
            <a:r>
              <a:rPr lang="en-US" baseline="0"/>
              <a:t> Inflation Growth</a:t>
            </a:r>
            <a:r>
              <a:rPr lang="en-US"/>
              <a:t> Trend</a:t>
            </a:r>
          </a:p>
        </c:rich>
      </c:tx>
      <c:layout>
        <c:manualLayout>
          <c:xMode val="edge"/>
          <c:yMode val="edge"/>
          <c:x val="0.20260411198600173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72003499562554"/>
          <c:y val="0.20894069096399984"/>
          <c:w val="0.83772440944881887"/>
          <c:h val="0.68848239609092388"/>
        </c:manualLayout>
      </c:layout>
      <c:lineChart>
        <c:grouping val="standard"/>
        <c:varyColors val="0"/>
        <c:ser>
          <c:idx val="0"/>
          <c:order val="0"/>
          <c:tx>
            <c:strRef>
              <c:f>YOY!$I$3</c:f>
              <c:strCache>
                <c:ptCount val="1"/>
                <c:pt idx="0">
                  <c:v>Average of General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YOY!$H$4:$H$14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YOY!$I$4:$I$14</c:f>
              <c:numCache>
                <c:formatCode>0%</c:formatCode>
                <c:ptCount val="11"/>
                <c:pt idx="0">
                  <c:v>0</c:v>
                </c:pt>
                <c:pt idx="1">
                  <c:v>6.6481504860497226E-2</c:v>
                </c:pt>
                <c:pt idx="2">
                  <c:v>4.8652871821582552E-2</c:v>
                </c:pt>
                <c:pt idx="3">
                  <c:v>4.9285440137268044E-2</c:v>
                </c:pt>
                <c:pt idx="4">
                  <c:v>3.3199931147258686E-2</c:v>
                </c:pt>
                <c:pt idx="5">
                  <c:v>3.9609321310314437E-2</c:v>
                </c:pt>
                <c:pt idx="6">
                  <c:v>3.9358550145593821E-2</c:v>
                </c:pt>
                <c:pt idx="7">
                  <c:v>5.9114068654247731E-2</c:v>
                </c:pt>
                <c:pt idx="8">
                  <c:v>5.7449092861172474E-2</c:v>
                </c:pt>
                <c:pt idx="9">
                  <c:v>6.6029943211151423E-2</c:v>
                </c:pt>
                <c:pt idx="10">
                  <c:v>3.1953121216523474E-2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C2-42C8-B3D6-3246BEC1BAF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23258175"/>
        <c:axId val="1323244735"/>
      </c:lineChart>
      <c:catAx>
        <c:axId val="132325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244735"/>
        <c:crosses val="autoZero"/>
        <c:auto val="1"/>
        <c:lblAlgn val="ctr"/>
        <c:lblOffset val="100"/>
        <c:noMultiLvlLbl val="0"/>
      </c:catAx>
      <c:valAx>
        <c:axId val="132324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Inflamation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258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Food</a:t>
            </a:r>
            <a:r>
              <a:rPr lang="en-US" baseline="0"/>
              <a:t> Bucket Month-on-Month Changes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Food!$N$1</c:f>
              <c:strCache>
                <c:ptCount val="1"/>
                <c:pt idx="0">
                  <c:v>monthly changes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Food!$D$2:$D$125</c:f>
              <c:numCache>
                <c:formatCode>[$-409]mmm\-yy;@</c:formatCode>
                <c:ptCount val="124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  <c:pt idx="37">
                  <c:v>42401</c:v>
                </c:pt>
                <c:pt idx="38">
                  <c:v>42430</c:v>
                </c:pt>
                <c:pt idx="39">
                  <c:v>42461</c:v>
                </c:pt>
                <c:pt idx="40">
                  <c:v>42491</c:v>
                </c:pt>
                <c:pt idx="41">
                  <c:v>42522</c:v>
                </c:pt>
                <c:pt idx="42">
                  <c:v>42552</c:v>
                </c:pt>
                <c:pt idx="43">
                  <c:v>42583</c:v>
                </c:pt>
                <c:pt idx="44">
                  <c:v>42614</c:v>
                </c:pt>
                <c:pt idx="45">
                  <c:v>42644</c:v>
                </c:pt>
                <c:pt idx="46">
                  <c:v>42675</c:v>
                </c:pt>
                <c:pt idx="47">
                  <c:v>42705</c:v>
                </c:pt>
                <c:pt idx="48">
                  <c:v>42736</c:v>
                </c:pt>
                <c:pt idx="49">
                  <c:v>42767</c:v>
                </c:pt>
                <c:pt idx="50">
                  <c:v>42795</c:v>
                </c:pt>
                <c:pt idx="51">
                  <c:v>42826</c:v>
                </c:pt>
                <c:pt idx="52">
                  <c:v>42856</c:v>
                </c:pt>
                <c:pt idx="53">
                  <c:v>42887</c:v>
                </c:pt>
                <c:pt idx="54">
                  <c:v>42917</c:v>
                </c:pt>
                <c:pt idx="55">
                  <c:v>42948</c:v>
                </c:pt>
                <c:pt idx="56">
                  <c:v>42979</c:v>
                </c:pt>
                <c:pt idx="57">
                  <c:v>43009</c:v>
                </c:pt>
                <c:pt idx="58">
                  <c:v>43040</c:v>
                </c:pt>
                <c:pt idx="59">
                  <c:v>43070</c:v>
                </c:pt>
                <c:pt idx="60">
                  <c:v>43101</c:v>
                </c:pt>
                <c:pt idx="61">
                  <c:v>43132</c:v>
                </c:pt>
                <c:pt idx="62">
                  <c:v>43160</c:v>
                </c:pt>
                <c:pt idx="63">
                  <c:v>43191</c:v>
                </c:pt>
                <c:pt idx="64">
                  <c:v>43221</c:v>
                </c:pt>
                <c:pt idx="65">
                  <c:v>43252</c:v>
                </c:pt>
                <c:pt idx="66">
                  <c:v>43282</c:v>
                </c:pt>
                <c:pt idx="67">
                  <c:v>43313</c:v>
                </c:pt>
                <c:pt idx="68">
                  <c:v>43344</c:v>
                </c:pt>
                <c:pt idx="69">
                  <c:v>43374</c:v>
                </c:pt>
                <c:pt idx="70">
                  <c:v>43405</c:v>
                </c:pt>
                <c:pt idx="71">
                  <c:v>43435</c:v>
                </c:pt>
                <c:pt idx="72">
                  <c:v>43466</c:v>
                </c:pt>
                <c:pt idx="73">
                  <c:v>43497</c:v>
                </c:pt>
                <c:pt idx="74">
                  <c:v>43525</c:v>
                </c:pt>
                <c:pt idx="75">
                  <c:v>43586</c:v>
                </c:pt>
                <c:pt idx="76">
                  <c:v>43617</c:v>
                </c:pt>
                <c:pt idx="77">
                  <c:v>43647</c:v>
                </c:pt>
                <c:pt idx="78">
                  <c:v>43678</c:v>
                </c:pt>
                <c:pt idx="79">
                  <c:v>43709</c:v>
                </c:pt>
                <c:pt idx="80">
                  <c:v>43739</c:v>
                </c:pt>
                <c:pt idx="81">
                  <c:v>43770</c:v>
                </c:pt>
                <c:pt idx="82">
                  <c:v>43800</c:v>
                </c:pt>
                <c:pt idx="83">
                  <c:v>43831</c:v>
                </c:pt>
                <c:pt idx="84">
                  <c:v>43862</c:v>
                </c:pt>
                <c:pt idx="85">
                  <c:v>43891</c:v>
                </c:pt>
                <c:pt idx="86">
                  <c:v>43922</c:v>
                </c:pt>
                <c:pt idx="87">
                  <c:v>43952</c:v>
                </c:pt>
                <c:pt idx="88">
                  <c:v>43983</c:v>
                </c:pt>
                <c:pt idx="89">
                  <c:v>44013</c:v>
                </c:pt>
                <c:pt idx="90">
                  <c:v>44044</c:v>
                </c:pt>
                <c:pt idx="91">
                  <c:v>44075</c:v>
                </c:pt>
                <c:pt idx="92">
                  <c:v>44105</c:v>
                </c:pt>
                <c:pt idx="93">
                  <c:v>44136</c:v>
                </c:pt>
                <c:pt idx="94">
                  <c:v>44166</c:v>
                </c:pt>
                <c:pt idx="95">
                  <c:v>44197</c:v>
                </c:pt>
                <c:pt idx="96">
                  <c:v>44228</c:v>
                </c:pt>
                <c:pt idx="97">
                  <c:v>44256</c:v>
                </c:pt>
                <c:pt idx="98">
                  <c:v>44287</c:v>
                </c:pt>
                <c:pt idx="99">
                  <c:v>44317</c:v>
                </c:pt>
                <c:pt idx="100">
                  <c:v>44348</c:v>
                </c:pt>
                <c:pt idx="101">
                  <c:v>44378</c:v>
                </c:pt>
                <c:pt idx="102">
                  <c:v>44409</c:v>
                </c:pt>
                <c:pt idx="103">
                  <c:v>44440</c:v>
                </c:pt>
                <c:pt idx="104">
                  <c:v>44470</c:v>
                </c:pt>
                <c:pt idx="105">
                  <c:v>44501</c:v>
                </c:pt>
                <c:pt idx="106">
                  <c:v>44531</c:v>
                </c:pt>
                <c:pt idx="107">
                  <c:v>44562</c:v>
                </c:pt>
                <c:pt idx="108">
                  <c:v>44593</c:v>
                </c:pt>
                <c:pt idx="109">
                  <c:v>44621</c:v>
                </c:pt>
                <c:pt idx="110">
                  <c:v>44652</c:v>
                </c:pt>
                <c:pt idx="111">
                  <c:v>44682</c:v>
                </c:pt>
                <c:pt idx="112">
                  <c:v>44713</c:v>
                </c:pt>
                <c:pt idx="113">
                  <c:v>44743</c:v>
                </c:pt>
                <c:pt idx="114">
                  <c:v>44774</c:v>
                </c:pt>
                <c:pt idx="115">
                  <c:v>44805</c:v>
                </c:pt>
                <c:pt idx="116">
                  <c:v>44835</c:v>
                </c:pt>
                <c:pt idx="117">
                  <c:v>44866</c:v>
                </c:pt>
                <c:pt idx="118">
                  <c:v>44896</c:v>
                </c:pt>
                <c:pt idx="119">
                  <c:v>44927</c:v>
                </c:pt>
                <c:pt idx="120">
                  <c:v>44958</c:v>
                </c:pt>
                <c:pt idx="121">
                  <c:v>44986</c:v>
                </c:pt>
                <c:pt idx="122">
                  <c:v>45017</c:v>
                </c:pt>
                <c:pt idx="123">
                  <c:v>45047</c:v>
                </c:pt>
              </c:numCache>
            </c:numRef>
          </c:cat>
          <c:val>
            <c:numRef>
              <c:f>Food!$N$2:$N$125</c:f>
              <c:numCache>
                <c:formatCode>0.0%</c:formatCode>
                <c:ptCount val="124"/>
                <c:pt idx="0" formatCode="General">
                  <c:v>0</c:v>
                </c:pt>
                <c:pt idx="1">
                  <c:v>9.46969696969697E-3</c:v>
                </c:pt>
                <c:pt idx="2">
                  <c:v>2.8142589118199941E-3</c:v>
                </c:pt>
                <c:pt idx="3">
                  <c:v>7.4836295603367365E-3</c:v>
                </c:pt>
                <c:pt idx="4">
                  <c:v>1.3927576601671309E-2</c:v>
                </c:pt>
                <c:pt idx="5">
                  <c:v>2.7472527472527472E-2</c:v>
                </c:pt>
                <c:pt idx="6">
                  <c:v>2.2281639928698752E-2</c:v>
                </c:pt>
                <c:pt idx="7">
                  <c:v>1.6564952048822943E-2</c:v>
                </c:pt>
                <c:pt idx="8">
                  <c:v>1.4579759862778756E-2</c:v>
                </c:pt>
                <c:pt idx="9">
                  <c:v>1.6060862214708416E-2</c:v>
                </c:pt>
                <c:pt idx="10">
                  <c:v>1.9966722129783624E-2</c:v>
                </c:pt>
                <c:pt idx="11">
                  <c:v>-3.4257748776508883E-2</c:v>
                </c:pt>
                <c:pt idx="12">
                  <c:v>-2.195945945945953E-2</c:v>
                </c:pt>
                <c:pt idx="13">
                  <c:v>-4.3177892918825561E-3</c:v>
                </c:pt>
                <c:pt idx="14">
                  <c:v>6.9384215091066537E-3</c:v>
                </c:pt>
                <c:pt idx="15">
                  <c:v>1.2919896640826874E-2</c:v>
                </c:pt>
                <c:pt idx="16">
                  <c:v>1.105442176870758E-2</c:v>
                </c:pt>
                <c:pt idx="17">
                  <c:v>1.2615643397813289E-2</c:v>
                </c:pt>
                <c:pt idx="18">
                  <c:v>3.5714285714285691E-2</c:v>
                </c:pt>
                <c:pt idx="19">
                  <c:v>1.5236567762630245E-2</c:v>
                </c:pt>
                <c:pt idx="20">
                  <c:v>-6.3191153238546386E-3</c:v>
                </c:pt>
                <c:pt idx="21">
                  <c:v>-3.1796502384737E-3</c:v>
                </c:pt>
                <c:pt idx="22">
                  <c:v>-2.392344497607746E-3</c:v>
                </c:pt>
                <c:pt idx="23">
                  <c:v>-1.1990407673860911E-2</c:v>
                </c:pt>
                <c:pt idx="24">
                  <c:v>-4.0453074433656963E-3</c:v>
                </c:pt>
                <c:pt idx="25">
                  <c:v>0</c:v>
                </c:pt>
                <c:pt idx="26">
                  <c:v>2.4370430544273874E-3</c:v>
                </c:pt>
                <c:pt idx="27">
                  <c:v>4.8622366288492242E-3</c:v>
                </c:pt>
                <c:pt idx="28">
                  <c:v>8.0645161290322578E-3</c:v>
                </c:pt>
                <c:pt idx="29">
                  <c:v>1.8399999999999979E-2</c:v>
                </c:pt>
                <c:pt idx="30">
                  <c:v>7.069913589944945E-3</c:v>
                </c:pt>
                <c:pt idx="31">
                  <c:v>1.6380655226209226E-2</c:v>
                </c:pt>
                <c:pt idx="32">
                  <c:v>6.907137375287622E-3</c:v>
                </c:pt>
                <c:pt idx="33">
                  <c:v>6.8597560975610199E-3</c:v>
                </c:pt>
                <c:pt idx="34">
                  <c:v>4.5420136260408356E-3</c:v>
                </c:pt>
                <c:pt idx="35">
                  <c:v>-9.7965335342877404E-3</c:v>
                </c:pt>
                <c:pt idx="36">
                  <c:v>-7.6103500761030677E-4</c:v>
                </c:pt>
                <c:pt idx="37">
                  <c:v>-1.0662604722010706E-2</c:v>
                </c:pt>
                <c:pt idx="38">
                  <c:v>-7.6982294072358982E-4</c:v>
                </c:pt>
                <c:pt idx="39">
                  <c:v>1.5408320493066254E-2</c:v>
                </c:pt>
                <c:pt idx="40">
                  <c:v>1.6691957511380792E-2</c:v>
                </c:pt>
                <c:pt idx="41">
                  <c:v>2.0895522388059785E-2</c:v>
                </c:pt>
                <c:pt idx="42">
                  <c:v>1.1695906432748496E-2</c:v>
                </c:pt>
                <c:pt idx="43">
                  <c:v>-3.6127167630057803E-3</c:v>
                </c:pt>
                <c:pt idx="44">
                  <c:v>-9.4271211022480886E-3</c:v>
                </c:pt>
                <c:pt idx="45">
                  <c:v>2.9282576866764692E-3</c:v>
                </c:pt>
                <c:pt idx="46">
                  <c:v>-6.5693430656934724E-3</c:v>
                </c:pt>
                <c:pt idx="47">
                  <c:v>-1.5429831006612743E-2</c:v>
                </c:pt>
                <c:pt idx="48">
                  <c:v>-6.7164179104478037E-3</c:v>
                </c:pt>
                <c:pt idx="49">
                  <c:v>-7.5131480090153508E-4</c:v>
                </c:pt>
                <c:pt idx="50">
                  <c:v>7.5187969924807752E-4</c:v>
                </c:pt>
                <c:pt idx="51">
                  <c:v>3.0052592036063537E-3</c:v>
                </c:pt>
                <c:pt idx="52">
                  <c:v>1.4981273408238849E-3</c:v>
                </c:pt>
                <c:pt idx="53">
                  <c:v>1.1219147344801795E-2</c:v>
                </c:pt>
                <c:pt idx="54">
                  <c:v>2.8106508875739733E-2</c:v>
                </c:pt>
                <c:pt idx="55">
                  <c:v>1.1510791366906433E-2</c:v>
                </c:pt>
                <c:pt idx="56">
                  <c:v>-1.1379800853485025E-2</c:v>
                </c:pt>
                <c:pt idx="57">
                  <c:v>7.9136690647481599E-3</c:v>
                </c:pt>
                <c:pt idx="58">
                  <c:v>1.4275517487508924E-2</c:v>
                </c:pt>
                <c:pt idx="59">
                  <c:v>-1.1259676284306786E-2</c:v>
                </c:pt>
                <c:pt idx="60">
                  <c:v>-9.2526690391459884E-3</c:v>
                </c:pt>
                <c:pt idx="61">
                  <c:v>-1.1494252873563178E-2</c:v>
                </c:pt>
                <c:pt idx="62">
                  <c:v>-2.9069767441860881E-3</c:v>
                </c:pt>
                <c:pt idx="63">
                  <c:v>2.1865889212828817E-3</c:v>
                </c:pt>
                <c:pt idx="64">
                  <c:v>4.3636363636363222E-3</c:v>
                </c:pt>
                <c:pt idx="65">
                  <c:v>9.4134685010862518E-3</c:v>
                </c:pt>
                <c:pt idx="66">
                  <c:v>1.4347202295552367E-2</c:v>
                </c:pt>
                <c:pt idx="67">
                  <c:v>2.121640735502001E-3</c:v>
                </c:pt>
                <c:pt idx="68">
                  <c:v>-9.1743119266053854E-3</c:v>
                </c:pt>
                <c:pt idx="69">
                  <c:v>-4.9857549857551071E-3</c:v>
                </c:pt>
                <c:pt idx="70">
                  <c:v>0</c:v>
                </c:pt>
                <c:pt idx="71">
                  <c:v>-1.0737294201861132E-2</c:v>
                </c:pt>
                <c:pt idx="72">
                  <c:v>-5.7887120115773013E-3</c:v>
                </c:pt>
                <c:pt idx="73">
                  <c:v>7.2780203784566459E-4</c:v>
                </c:pt>
                <c:pt idx="74">
                  <c:v>4.3636363636363222E-3</c:v>
                </c:pt>
                <c:pt idx="75">
                  <c:v>2.0275162925416448E-2</c:v>
                </c:pt>
                <c:pt idx="76">
                  <c:v>1.2775017743080078E-2</c:v>
                </c:pt>
                <c:pt idx="77">
                  <c:v>1.4015416958654521E-2</c:v>
                </c:pt>
                <c:pt idx="78">
                  <c:v>8.2930200414652183E-3</c:v>
                </c:pt>
                <c:pt idx="79">
                  <c:v>7.5394105551747376E-3</c:v>
                </c:pt>
                <c:pt idx="80">
                  <c:v>1.7687074829931933E-2</c:v>
                </c:pt>
                <c:pt idx="81">
                  <c:v>1.5374331550802216E-2</c:v>
                </c:pt>
                <c:pt idx="82">
                  <c:v>2.0408163265306083E-2</c:v>
                </c:pt>
                <c:pt idx="83">
                  <c:v>-9.6774193548387101E-3</c:v>
                </c:pt>
                <c:pt idx="84">
                  <c:v>-1.9543973941368076E-2</c:v>
                </c:pt>
                <c:pt idx="85">
                  <c:v>-1.0631229235880361E-2</c:v>
                </c:pt>
                <c:pt idx="86">
                  <c:v>1.6789791806581598E-2</c:v>
                </c:pt>
                <c:pt idx="87">
                  <c:v>-1.9815059445179085E-3</c:v>
                </c:pt>
                <c:pt idx="88">
                  <c:v>1.9192587690271382E-2</c:v>
                </c:pt>
                <c:pt idx="89">
                  <c:v>0</c:v>
                </c:pt>
                <c:pt idx="90">
                  <c:v>1.948051948051948E-2</c:v>
                </c:pt>
                <c:pt idx="91">
                  <c:v>6.369426751592357E-3</c:v>
                </c:pt>
                <c:pt idx="92">
                  <c:v>2.1518987341772187E-2</c:v>
                </c:pt>
                <c:pt idx="93">
                  <c:v>2.0446096654274985E-2</c:v>
                </c:pt>
                <c:pt idx="94">
                  <c:v>4.2501517911355015E-3</c:v>
                </c:pt>
                <c:pt idx="95">
                  <c:v>-2.6602176541717083E-2</c:v>
                </c:pt>
                <c:pt idx="96">
                  <c:v>-2.5465838509316736E-2</c:v>
                </c:pt>
                <c:pt idx="97">
                  <c:v>-1.2746972594010009E-3</c:v>
                </c:pt>
                <c:pt idx="98">
                  <c:v>8.2961072112317253E-3</c:v>
                </c:pt>
                <c:pt idx="99">
                  <c:v>1.7088607594936637E-2</c:v>
                </c:pt>
                <c:pt idx="100">
                  <c:v>1.1823273179838244E-2</c:v>
                </c:pt>
                <c:pt idx="101">
                  <c:v>8.6100861008610446E-3</c:v>
                </c:pt>
                <c:pt idx="102">
                  <c:v>0</c:v>
                </c:pt>
                <c:pt idx="103">
                  <c:v>0</c:v>
                </c:pt>
                <c:pt idx="104">
                  <c:v>2.2560975609756027E-2</c:v>
                </c:pt>
                <c:pt idx="105">
                  <c:v>1.1926058437686345E-2</c:v>
                </c:pt>
                <c:pt idx="106">
                  <c:v>-8.8391278727165592E-3</c:v>
                </c:pt>
                <c:pt idx="107">
                  <c:v>-1.070154577883462E-2</c:v>
                </c:pt>
                <c:pt idx="108">
                  <c:v>-1.2019230769231793E-3</c:v>
                </c:pt>
                <c:pt idx="109">
                  <c:v>1.3237063778580128E-2</c:v>
                </c:pt>
                <c:pt idx="110">
                  <c:v>1.4251781472684119E-2</c:v>
                </c:pt>
                <c:pt idx="111">
                  <c:v>1.4637002341920374E-2</c:v>
                </c:pt>
                <c:pt idx="112">
                  <c:v>9.2325447201384546E-3</c:v>
                </c:pt>
                <c:pt idx="113">
                  <c:v>5.7175528873638828E-4</c:v>
                </c:pt>
                <c:pt idx="114">
                  <c:v>7.4285714285714935E-3</c:v>
                </c:pt>
                <c:pt idx="115">
                  <c:v>8.5082246171298923E-3</c:v>
                </c:pt>
                <c:pt idx="116">
                  <c:v>1.0123734533183255E-2</c:v>
                </c:pt>
                <c:pt idx="117">
                  <c:v>-7.2383073496658295E-3</c:v>
                </c:pt>
                <c:pt idx="118">
                  <c:v>-1.3460459899046581E-2</c:v>
                </c:pt>
                <c:pt idx="119">
                  <c:v>4.5480386583284984E-3</c:v>
                </c:pt>
                <c:pt idx="120">
                  <c:v>1.6977928692700134E-3</c:v>
                </c:pt>
                <c:pt idx="121">
                  <c:v>0</c:v>
                </c:pt>
                <c:pt idx="122">
                  <c:v>5.0847457627118961E-3</c:v>
                </c:pt>
                <c:pt idx="123">
                  <c:v>6.7453625632377095E-3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62-4007-8079-1646D8B51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40762879"/>
        <c:axId val="340764319"/>
      </c:lineChart>
      <c:dateAx>
        <c:axId val="340762879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764319"/>
        <c:crosses val="autoZero"/>
        <c:auto val="1"/>
        <c:lblOffset val="100"/>
        <c:baseTimeUnit val="months"/>
      </c:dateAx>
      <c:valAx>
        <c:axId val="340764319"/>
        <c:scaling>
          <c:orientation val="minMax"/>
        </c:scaling>
        <c:delete val="0"/>
        <c:axPos val="l"/>
        <c:numFmt formatCode="0.0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762879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</a:t>
            </a:r>
            <a:r>
              <a:rPr lang="en-US" baseline="0"/>
              <a:t> Vs Post COVID - CPI Comparison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'COVID-19'!$N$3</c:f>
              <c:strCache>
                <c:ptCount val="1"/>
                <c:pt idx="0">
                  <c:v>Pre-COVID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'COVID-19'!$M$4:$M$6</c:f>
              <c:strCache>
                <c:ptCount val="3"/>
                <c:pt idx="0">
                  <c:v>Food</c:v>
                </c:pt>
                <c:pt idx="1">
                  <c:v>Fuel &amp; Light</c:v>
                </c:pt>
                <c:pt idx="2">
                  <c:v>Health_</c:v>
                </c:pt>
              </c:strCache>
            </c:strRef>
          </c:cat>
          <c:val>
            <c:numRef>
              <c:f>'COVID-19'!$N$4:$N$6</c:f>
              <c:numCache>
                <c:formatCode>0.00</c:formatCode>
                <c:ptCount val="3"/>
                <c:pt idx="0">
                  <c:v>138.66595744680851</c:v>
                </c:pt>
                <c:pt idx="1">
                  <c:v>133.39574468085104</c:v>
                </c:pt>
                <c:pt idx="2">
                  <c:v>134.55957446808509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B4-4728-8821-8C63A529834A}"/>
            </c:ext>
          </c:extLst>
        </c:ser>
        <c:ser>
          <c:idx val="1"/>
          <c:order val="1"/>
          <c:tx>
            <c:strRef>
              <c:f>'COVID-19'!$O$3</c:f>
              <c:strCache>
                <c:ptCount val="1"/>
                <c:pt idx="0">
                  <c:v>Post-COVID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'COVID-19'!$M$4:$M$6</c:f>
              <c:strCache>
                <c:ptCount val="3"/>
                <c:pt idx="0">
                  <c:v>Food</c:v>
                </c:pt>
                <c:pt idx="1">
                  <c:v>Fuel &amp; Light</c:v>
                </c:pt>
                <c:pt idx="2">
                  <c:v>Health_</c:v>
                </c:pt>
              </c:strCache>
            </c:strRef>
          </c:cat>
          <c:val>
            <c:numRef>
              <c:f>'COVID-19'!$O$4:$O$6</c:f>
              <c:numCache>
                <c:formatCode>0.00</c:formatCode>
                <c:ptCount val="3"/>
                <c:pt idx="0">
                  <c:v>165.70731707317071</c:v>
                </c:pt>
                <c:pt idx="1">
                  <c:v>162.26341463414633</c:v>
                </c:pt>
                <c:pt idx="2">
                  <c:v>167.6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B4-4728-8821-8C63A52983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79846000"/>
        <c:axId val="879845520"/>
      </c:barChart>
      <c:catAx>
        <c:axId val="87984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845520"/>
        <c:crosses val="autoZero"/>
        <c:auto val="1"/>
        <c:lblAlgn val="ctr"/>
        <c:lblOffset val="100"/>
        <c:noMultiLvlLbl val="0"/>
      </c:catAx>
      <c:valAx>
        <c:axId val="87984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CPI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84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Crude</a:t>
            </a:r>
            <a:r>
              <a:rPr lang="en-US" baseline="0"/>
              <a:t> Oil Influenced Inflation Rate (2021-2023)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Fuel_Impact!$B$1</c:f>
              <c:strCache>
                <c:ptCount val="1"/>
                <c:pt idx="0">
                  <c:v>Fuel and light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Fuel_Impact!$A$2:$A$30</c:f>
              <c:numCache>
                <c:formatCode>[$-409]mmm\-yy;@</c:formatCode>
                <c:ptCount val="29"/>
                <c:pt idx="0">
                  <c:v>44197</c:v>
                </c:pt>
                <c:pt idx="1">
                  <c:v>44562</c:v>
                </c:pt>
                <c:pt idx="2">
                  <c:v>44927</c:v>
                </c:pt>
                <c:pt idx="3">
                  <c:v>44228</c:v>
                </c:pt>
                <c:pt idx="4">
                  <c:v>44593</c:v>
                </c:pt>
                <c:pt idx="5">
                  <c:v>44958</c:v>
                </c:pt>
                <c:pt idx="6">
                  <c:v>44256</c:v>
                </c:pt>
                <c:pt idx="7">
                  <c:v>44621</c:v>
                </c:pt>
                <c:pt idx="8">
                  <c:v>44986</c:v>
                </c:pt>
                <c:pt idx="9">
                  <c:v>44287</c:v>
                </c:pt>
                <c:pt idx="10">
                  <c:v>44652</c:v>
                </c:pt>
                <c:pt idx="11">
                  <c:v>45017</c:v>
                </c:pt>
                <c:pt idx="12">
                  <c:v>44317</c:v>
                </c:pt>
                <c:pt idx="13">
                  <c:v>44682</c:v>
                </c:pt>
                <c:pt idx="14">
                  <c:v>45047</c:v>
                </c:pt>
                <c:pt idx="15">
                  <c:v>44348</c:v>
                </c:pt>
                <c:pt idx="16">
                  <c:v>44713</c:v>
                </c:pt>
                <c:pt idx="17">
                  <c:v>44378</c:v>
                </c:pt>
                <c:pt idx="18">
                  <c:v>44743</c:v>
                </c:pt>
                <c:pt idx="19">
                  <c:v>44409</c:v>
                </c:pt>
                <c:pt idx="20">
                  <c:v>44774</c:v>
                </c:pt>
                <c:pt idx="21">
                  <c:v>44440</c:v>
                </c:pt>
                <c:pt idx="22">
                  <c:v>44805</c:v>
                </c:pt>
                <c:pt idx="23">
                  <c:v>44470</c:v>
                </c:pt>
                <c:pt idx="24">
                  <c:v>44835</c:v>
                </c:pt>
                <c:pt idx="25">
                  <c:v>44501</c:v>
                </c:pt>
                <c:pt idx="26">
                  <c:v>44866</c:v>
                </c:pt>
                <c:pt idx="27">
                  <c:v>44531</c:v>
                </c:pt>
                <c:pt idx="28">
                  <c:v>44896</c:v>
                </c:pt>
              </c:numCache>
            </c:numRef>
          </c:cat>
          <c:val>
            <c:numRef>
              <c:f>Fuel_Impact!$B$2:$B$30</c:f>
            </c:numRef>
          </c:val>
          <c:smooth val="0"/>
          <c:extLst>
            <c:ext xmlns:c16="http://schemas.microsoft.com/office/drawing/2014/chart" uri="{C3380CC4-5D6E-409C-BE32-E72D297353CC}">
              <c16:uniqueId val="{00000000-2737-4DAE-AC49-2FD2B59393FD}"/>
            </c:ext>
          </c:extLst>
        </c:ser>
        <c:ser>
          <c:idx val="1"/>
          <c:order val="1"/>
          <c:tx>
            <c:strRef>
              <c:f>Fuel_Impact!$C$1</c:f>
              <c:strCache>
                <c:ptCount val="1"/>
                <c:pt idx="0">
                  <c:v>Fuel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Fuel_Impact!$A$2:$A$30</c:f>
              <c:numCache>
                <c:formatCode>[$-409]mmm\-yy;@</c:formatCode>
                <c:ptCount val="29"/>
                <c:pt idx="0">
                  <c:v>44197</c:v>
                </c:pt>
                <c:pt idx="1">
                  <c:v>44562</c:v>
                </c:pt>
                <c:pt idx="2">
                  <c:v>44927</c:v>
                </c:pt>
                <c:pt idx="3">
                  <c:v>44228</c:v>
                </c:pt>
                <c:pt idx="4">
                  <c:v>44593</c:v>
                </c:pt>
                <c:pt idx="5">
                  <c:v>44958</c:v>
                </c:pt>
                <c:pt idx="6">
                  <c:v>44256</c:v>
                </c:pt>
                <c:pt idx="7">
                  <c:v>44621</c:v>
                </c:pt>
                <c:pt idx="8">
                  <c:v>44986</c:v>
                </c:pt>
                <c:pt idx="9">
                  <c:v>44287</c:v>
                </c:pt>
                <c:pt idx="10">
                  <c:v>44652</c:v>
                </c:pt>
                <c:pt idx="11">
                  <c:v>45017</c:v>
                </c:pt>
                <c:pt idx="12">
                  <c:v>44317</c:v>
                </c:pt>
                <c:pt idx="13">
                  <c:v>44682</c:v>
                </c:pt>
                <c:pt idx="14">
                  <c:v>45047</c:v>
                </c:pt>
                <c:pt idx="15">
                  <c:v>44348</c:v>
                </c:pt>
                <c:pt idx="16">
                  <c:v>44713</c:v>
                </c:pt>
                <c:pt idx="17">
                  <c:v>44378</c:v>
                </c:pt>
                <c:pt idx="18">
                  <c:v>44743</c:v>
                </c:pt>
                <c:pt idx="19">
                  <c:v>44409</c:v>
                </c:pt>
                <c:pt idx="20">
                  <c:v>44774</c:v>
                </c:pt>
                <c:pt idx="21">
                  <c:v>44440</c:v>
                </c:pt>
                <c:pt idx="22">
                  <c:v>44805</c:v>
                </c:pt>
                <c:pt idx="23">
                  <c:v>44470</c:v>
                </c:pt>
                <c:pt idx="24">
                  <c:v>44835</c:v>
                </c:pt>
                <c:pt idx="25">
                  <c:v>44501</c:v>
                </c:pt>
                <c:pt idx="26">
                  <c:v>44866</c:v>
                </c:pt>
                <c:pt idx="27">
                  <c:v>44531</c:v>
                </c:pt>
                <c:pt idx="28">
                  <c:v>44896</c:v>
                </c:pt>
              </c:numCache>
            </c:numRef>
          </c:cat>
          <c:val>
            <c:numRef>
              <c:f>Fuel_Impact!$C$2:$C$30</c:f>
              <c:numCache>
                <c:formatCode>0.00%</c:formatCode>
                <c:ptCount val="29"/>
                <c:pt idx="0">
                  <c:v>0</c:v>
                </c:pt>
                <c:pt idx="1">
                  <c:v>0.11020960108181191</c:v>
                </c:pt>
                <c:pt idx="2">
                  <c:v>0.1084043848964678</c:v>
                </c:pt>
                <c:pt idx="3">
                  <c:v>-0.16263736263736261</c:v>
                </c:pt>
                <c:pt idx="4">
                  <c:v>8.7270341207348973E-2</c:v>
                </c:pt>
                <c:pt idx="5">
                  <c:v>9.897404948702479E-2</c:v>
                </c:pt>
                <c:pt idx="6">
                  <c:v>-0.14607358594179021</c:v>
                </c:pt>
                <c:pt idx="7">
                  <c:v>7.5241157556270019E-2</c:v>
                </c:pt>
                <c:pt idx="8">
                  <c:v>8.7918660287081452E-2</c:v>
                </c:pt>
                <c:pt idx="9">
                  <c:v>-0.14458493677844975</c:v>
                </c:pt>
                <c:pt idx="10">
                  <c:v>0.10668380462724933</c:v>
                </c:pt>
                <c:pt idx="11">
                  <c:v>5.5168408826945417E-2</c:v>
                </c:pt>
                <c:pt idx="12">
                  <c:v>-0.12272977435332957</c:v>
                </c:pt>
                <c:pt idx="13">
                  <c:v>9.5357590966122882E-2</c:v>
                </c:pt>
                <c:pt idx="14">
                  <c:v>4.6964490263459432E-2</c:v>
                </c:pt>
                <c:pt idx="15">
                  <c:v>-0.12582056892778992</c:v>
                </c:pt>
                <c:pt idx="16">
                  <c:v>0.10137672090112633</c:v>
                </c:pt>
                <c:pt idx="17">
                  <c:v>-8.6931818181818249E-2</c:v>
                </c:pt>
                <c:pt idx="18">
                  <c:v>0.11761045426260117</c:v>
                </c:pt>
                <c:pt idx="19">
                  <c:v>-9.4654788418708238E-2</c:v>
                </c:pt>
                <c:pt idx="20">
                  <c:v>9.9630996309963207E-2</c:v>
                </c:pt>
                <c:pt idx="21">
                  <c:v>-9.0604026845637675E-2</c:v>
                </c:pt>
                <c:pt idx="22">
                  <c:v>0.10393603936039364</c:v>
                </c:pt>
                <c:pt idx="23">
                  <c:v>-8.5236768802228483E-2</c:v>
                </c:pt>
                <c:pt idx="24">
                  <c:v>9.9269183922046367E-2</c:v>
                </c:pt>
                <c:pt idx="25">
                  <c:v>-9.1966759002770057E-2</c:v>
                </c:pt>
                <c:pt idx="26">
                  <c:v>0.1061622940817572</c:v>
                </c:pt>
                <c:pt idx="27">
                  <c:v>-9.4870380584666389E-2</c:v>
                </c:pt>
                <c:pt idx="28">
                  <c:v>0.10907982937233399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37-4DAE-AC49-2FD2B59393FD}"/>
            </c:ext>
          </c:extLst>
        </c:ser>
        <c:ser>
          <c:idx val="2"/>
          <c:order val="2"/>
          <c:tx>
            <c:strRef>
              <c:f>Fuel_Impact!$D$1</c:f>
              <c:strCache>
                <c:ptCount val="1"/>
                <c:pt idx="0">
                  <c:v>Transport and communication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Fuel_Impact!$A$2:$A$30</c:f>
              <c:numCache>
                <c:formatCode>[$-409]mmm\-yy;@</c:formatCode>
                <c:ptCount val="29"/>
                <c:pt idx="0">
                  <c:v>44197</c:v>
                </c:pt>
                <c:pt idx="1">
                  <c:v>44562</c:v>
                </c:pt>
                <c:pt idx="2">
                  <c:v>44927</c:v>
                </c:pt>
                <c:pt idx="3">
                  <c:v>44228</c:v>
                </c:pt>
                <c:pt idx="4">
                  <c:v>44593</c:v>
                </c:pt>
                <c:pt idx="5">
                  <c:v>44958</c:v>
                </c:pt>
                <c:pt idx="6">
                  <c:v>44256</c:v>
                </c:pt>
                <c:pt idx="7">
                  <c:v>44621</c:v>
                </c:pt>
                <c:pt idx="8">
                  <c:v>44986</c:v>
                </c:pt>
                <c:pt idx="9">
                  <c:v>44287</c:v>
                </c:pt>
                <c:pt idx="10">
                  <c:v>44652</c:v>
                </c:pt>
                <c:pt idx="11">
                  <c:v>45017</c:v>
                </c:pt>
                <c:pt idx="12">
                  <c:v>44317</c:v>
                </c:pt>
                <c:pt idx="13">
                  <c:v>44682</c:v>
                </c:pt>
                <c:pt idx="14">
                  <c:v>45047</c:v>
                </c:pt>
                <c:pt idx="15">
                  <c:v>44348</c:v>
                </c:pt>
                <c:pt idx="16">
                  <c:v>44713</c:v>
                </c:pt>
                <c:pt idx="17">
                  <c:v>44378</c:v>
                </c:pt>
                <c:pt idx="18">
                  <c:v>44743</c:v>
                </c:pt>
                <c:pt idx="19">
                  <c:v>44409</c:v>
                </c:pt>
                <c:pt idx="20">
                  <c:v>44774</c:v>
                </c:pt>
                <c:pt idx="21">
                  <c:v>44440</c:v>
                </c:pt>
                <c:pt idx="22">
                  <c:v>44805</c:v>
                </c:pt>
                <c:pt idx="23">
                  <c:v>44470</c:v>
                </c:pt>
                <c:pt idx="24">
                  <c:v>44835</c:v>
                </c:pt>
                <c:pt idx="25">
                  <c:v>44501</c:v>
                </c:pt>
                <c:pt idx="26">
                  <c:v>44866</c:v>
                </c:pt>
                <c:pt idx="27">
                  <c:v>44531</c:v>
                </c:pt>
                <c:pt idx="28">
                  <c:v>44896</c:v>
                </c:pt>
              </c:numCache>
            </c:numRef>
          </c:cat>
          <c:val>
            <c:numRef>
              <c:f>Fuel_Impact!$D$2:$D$30</c:f>
            </c:numRef>
          </c:val>
          <c:smooth val="0"/>
          <c:extLst>
            <c:ext xmlns:c16="http://schemas.microsoft.com/office/drawing/2014/chart" uri="{C3380CC4-5D6E-409C-BE32-E72D297353CC}">
              <c16:uniqueId val="{00000002-2737-4DAE-AC49-2FD2B59393FD}"/>
            </c:ext>
          </c:extLst>
        </c:ser>
        <c:ser>
          <c:idx val="3"/>
          <c:order val="3"/>
          <c:tx>
            <c:strRef>
              <c:f>Fuel_Impact!$E$1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Fuel_Impact!$A$2:$A$30</c:f>
              <c:numCache>
                <c:formatCode>[$-409]mmm\-yy;@</c:formatCode>
                <c:ptCount val="29"/>
                <c:pt idx="0">
                  <c:v>44197</c:v>
                </c:pt>
                <c:pt idx="1">
                  <c:v>44562</c:v>
                </c:pt>
                <c:pt idx="2">
                  <c:v>44927</c:v>
                </c:pt>
                <c:pt idx="3">
                  <c:v>44228</c:v>
                </c:pt>
                <c:pt idx="4">
                  <c:v>44593</c:v>
                </c:pt>
                <c:pt idx="5">
                  <c:v>44958</c:v>
                </c:pt>
                <c:pt idx="6">
                  <c:v>44256</c:v>
                </c:pt>
                <c:pt idx="7">
                  <c:v>44621</c:v>
                </c:pt>
                <c:pt idx="8">
                  <c:v>44986</c:v>
                </c:pt>
                <c:pt idx="9">
                  <c:v>44287</c:v>
                </c:pt>
                <c:pt idx="10">
                  <c:v>44652</c:v>
                </c:pt>
                <c:pt idx="11">
                  <c:v>45017</c:v>
                </c:pt>
                <c:pt idx="12">
                  <c:v>44317</c:v>
                </c:pt>
                <c:pt idx="13">
                  <c:v>44682</c:v>
                </c:pt>
                <c:pt idx="14">
                  <c:v>45047</c:v>
                </c:pt>
                <c:pt idx="15">
                  <c:v>44348</c:v>
                </c:pt>
                <c:pt idx="16">
                  <c:v>44713</c:v>
                </c:pt>
                <c:pt idx="17">
                  <c:v>44378</c:v>
                </c:pt>
                <c:pt idx="18">
                  <c:v>44743</c:v>
                </c:pt>
                <c:pt idx="19">
                  <c:v>44409</c:v>
                </c:pt>
                <c:pt idx="20">
                  <c:v>44774</c:v>
                </c:pt>
                <c:pt idx="21">
                  <c:v>44440</c:v>
                </c:pt>
                <c:pt idx="22">
                  <c:v>44805</c:v>
                </c:pt>
                <c:pt idx="23">
                  <c:v>44470</c:v>
                </c:pt>
                <c:pt idx="24">
                  <c:v>44835</c:v>
                </c:pt>
                <c:pt idx="25">
                  <c:v>44501</c:v>
                </c:pt>
                <c:pt idx="26">
                  <c:v>44866</c:v>
                </c:pt>
                <c:pt idx="27">
                  <c:v>44531</c:v>
                </c:pt>
                <c:pt idx="28">
                  <c:v>44896</c:v>
                </c:pt>
              </c:numCache>
            </c:numRef>
          </c:cat>
          <c:val>
            <c:numRef>
              <c:f>Fuel_Impact!$E$2:$E$30</c:f>
              <c:numCache>
                <c:formatCode>0.00%</c:formatCode>
                <c:ptCount val="29"/>
                <c:pt idx="0">
                  <c:v>0</c:v>
                </c:pt>
                <c:pt idx="1">
                  <c:v>0.10288935870331214</c:v>
                </c:pt>
                <c:pt idx="2">
                  <c:v>4.5367412140575041E-2</c:v>
                </c:pt>
                <c:pt idx="3">
                  <c:v>-0.11308068459657702</c:v>
                </c:pt>
                <c:pt idx="4">
                  <c:v>8.1323225361819518E-2</c:v>
                </c:pt>
                <c:pt idx="5">
                  <c:v>4.6526449968132461E-2</c:v>
                </c:pt>
                <c:pt idx="6">
                  <c:v>-0.10962241169305725</c:v>
                </c:pt>
                <c:pt idx="7">
                  <c:v>8.0027359781121868E-2</c:v>
                </c:pt>
                <c:pt idx="8">
                  <c:v>3.9898670044331744E-2</c:v>
                </c:pt>
                <c:pt idx="9">
                  <c:v>-0.10718635809987817</c:v>
                </c:pt>
                <c:pt idx="10">
                  <c:v>0.10914051841746249</c:v>
                </c:pt>
                <c:pt idx="11">
                  <c:v>1.1685116851168548E-2</c:v>
                </c:pt>
                <c:pt idx="12">
                  <c:v>-9.4832826747720325E-2</c:v>
                </c:pt>
                <c:pt idx="13">
                  <c:v>9.4694425789120171E-2</c:v>
                </c:pt>
                <c:pt idx="14">
                  <c:v>1.1042944785276143E-2</c:v>
                </c:pt>
                <c:pt idx="15">
                  <c:v>-8.5558252427184595E-2</c:v>
                </c:pt>
                <c:pt idx="16">
                  <c:v>6.901128069011285E-2</c:v>
                </c:pt>
                <c:pt idx="17">
                  <c:v>-4.9658597144630667E-2</c:v>
                </c:pt>
                <c:pt idx="18">
                  <c:v>5.5519268451992163E-2</c:v>
                </c:pt>
                <c:pt idx="19">
                  <c:v>-4.7029702970296995E-2</c:v>
                </c:pt>
                <c:pt idx="20">
                  <c:v>5.1298701298701337E-2</c:v>
                </c:pt>
                <c:pt idx="21">
                  <c:v>-4.8795552810376806E-2</c:v>
                </c:pt>
                <c:pt idx="22">
                  <c:v>5.389610389610397E-2</c:v>
                </c:pt>
                <c:pt idx="23">
                  <c:v>-4.066543438077648E-2</c:v>
                </c:pt>
                <c:pt idx="24">
                  <c:v>4.6242774566474104E-2</c:v>
                </c:pt>
                <c:pt idx="25">
                  <c:v>-4.9723756906077311E-2</c:v>
                </c:pt>
                <c:pt idx="26">
                  <c:v>5.2971576227390106E-2</c:v>
                </c:pt>
                <c:pt idx="27">
                  <c:v>-4.4785276073619699E-2</c:v>
                </c:pt>
                <c:pt idx="28">
                  <c:v>4.9454078355812572E-2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37-4DAE-AC49-2FD2B59393FD}"/>
            </c:ext>
          </c:extLst>
        </c:ser>
        <c:ser>
          <c:idx val="4"/>
          <c:order val="4"/>
          <c:tx>
            <c:strRef>
              <c:f>Fuel_Impact!$F$1</c:f>
              <c:strCache>
                <c:ptCount val="1"/>
                <c:pt idx="0">
                  <c:v>General index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Fuel_Impact!$A$2:$A$30</c:f>
              <c:numCache>
                <c:formatCode>[$-409]mmm\-yy;@</c:formatCode>
                <c:ptCount val="29"/>
                <c:pt idx="0">
                  <c:v>44197</c:v>
                </c:pt>
                <c:pt idx="1">
                  <c:v>44562</c:v>
                </c:pt>
                <c:pt idx="2">
                  <c:v>44927</c:v>
                </c:pt>
                <c:pt idx="3">
                  <c:v>44228</c:v>
                </c:pt>
                <c:pt idx="4">
                  <c:v>44593</c:v>
                </c:pt>
                <c:pt idx="5">
                  <c:v>44958</c:v>
                </c:pt>
                <c:pt idx="6">
                  <c:v>44256</c:v>
                </c:pt>
                <c:pt idx="7">
                  <c:v>44621</c:v>
                </c:pt>
                <c:pt idx="8">
                  <c:v>44986</c:v>
                </c:pt>
                <c:pt idx="9">
                  <c:v>44287</c:v>
                </c:pt>
                <c:pt idx="10">
                  <c:v>44652</c:v>
                </c:pt>
                <c:pt idx="11">
                  <c:v>45017</c:v>
                </c:pt>
                <c:pt idx="12">
                  <c:v>44317</c:v>
                </c:pt>
                <c:pt idx="13">
                  <c:v>44682</c:v>
                </c:pt>
                <c:pt idx="14">
                  <c:v>45047</c:v>
                </c:pt>
                <c:pt idx="15">
                  <c:v>44348</c:v>
                </c:pt>
                <c:pt idx="16">
                  <c:v>44713</c:v>
                </c:pt>
                <c:pt idx="17">
                  <c:v>44378</c:v>
                </c:pt>
                <c:pt idx="18">
                  <c:v>44743</c:v>
                </c:pt>
                <c:pt idx="19">
                  <c:v>44409</c:v>
                </c:pt>
                <c:pt idx="20">
                  <c:v>44774</c:v>
                </c:pt>
                <c:pt idx="21">
                  <c:v>44440</c:v>
                </c:pt>
                <c:pt idx="22">
                  <c:v>44805</c:v>
                </c:pt>
                <c:pt idx="23">
                  <c:v>44470</c:v>
                </c:pt>
                <c:pt idx="24">
                  <c:v>44835</c:v>
                </c:pt>
                <c:pt idx="25">
                  <c:v>44501</c:v>
                </c:pt>
                <c:pt idx="26">
                  <c:v>44866</c:v>
                </c:pt>
                <c:pt idx="27">
                  <c:v>44531</c:v>
                </c:pt>
                <c:pt idx="28">
                  <c:v>44896</c:v>
                </c:pt>
              </c:numCache>
            </c:numRef>
          </c:cat>
          <c:val>
            <c:numRef>
              <c:f>Fuel_Impact!$F$2:$F$30</c:f>
            </c:numRef>
          </c:val>
          <c:smooth val="0"/>
          <c:extLst>
            <c:ext xmlns:c16="http://schemas.microsoft.com/office/drawing/2014/chart" uri="{C3380CC4-5D6E-409C-BE32-E72D297353CC}">
              <c16:uniqueId val="{00000004-2737-4DAE-AC49-2FD2B59393FD}"/>
            </c:ext>
          </c:extLst>
        </c:ser>
        <c:ser>
          <c:idx val="5"/>
          <c:order val="5"/>
          <c:tx>
            <c:strRef>
              <c:f>Fuel_Impact!$G$1</c:f>
              <c:strCache>
                <c:ptCount val="1"/>
                <c:pt idx="0">
                  <c:v>General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Fuel_Impact!$A$2:$A$30</c:f>
              <c:numCache>
                <c:formatCode>[$-409]mmm\-yy;@</c:formatCode>
                <c:ptCount val="29"/>
                <c:pt idx="0">
                  <c:v>44197</c:v>
                </c:pt>
                <c:pt idx="1">
                  <c:v>44562</c:v>
                </c:pt>
                <c:pt idx="2">
                  <c:v>44927</c:v>
                </c:pt>
                <c:pt idx="3">
                  <c:v>44228</c:v>
                </c:pt>
                <c:pt idx="4">
                  <c:v>44593</c:v>
                </c:pt>
                <c:pt idx="5">
                  <c:v>44958</c:v>
                </c:pt>
                <c:pt idx="6">
                  <c:v>44256</c:v>
                </c:pt>
                <c:pt idx="7">
                  <c:v>44621</c:v>
                </c:pt>
                <c:pt idx="8">
                  <c:v>44986</c:v>
                </c:pt>
                <c:pt idx="9">
                  <c:v>44287</c:v>
                </c:pt>
                <c:pt idx="10">
                  <c:v>44652</c:v>
                </c:pt>
                <c:pt idx="11">
                  <c:v>45017</c:v>
                </c:pt>
                <c:pt idx="12">
                  <c:v>44317</c:v>
                </c:pt>
                <c:pt idx="13">
                  <c:v>44682</c:v>
                </c:pt>
                <c:pt idx="14">
                  <c:v>45047</c:v>
                </c:pt>
                <c:pt idx="15">
                  <c:v>44348</c:v>
                </c:pt>
                <c:pt idx="16">
                  <c:v>44713</c:v>
                </c:pt>
                <c:pt idx="17">
                  <c:v>44378</c:v>
                </c:pt>
                <c:pt idx="18">
                  <c:v>44743</c:v>
                </c:pt>
                <c:pt idx="19">
                  <c:v>44409</c:v>
                </c:pt>
                <c:pt idx="20">
                  <c:v>44774</c:v>
                </c:pt>
                <c:pt idx="21">
                  <c:v>44440</c:v>
                </c:pt>
                <c:pt idx="22">
                  <c:v>44805</c:v>
                </c:pt>
                <c:pt idx="23">
                  <c:v>44470</c:v>
                </c:pt>
                <c:pt idx="24">
                  <c:v>44835</c:v>
                </c:pt>
                <c:pt idx="25">
                  <c:v>44501</c:v>
                </c:pt>
                <c:pt idx="26">
                  <c:v>44866</c:v>
                </c:pt>
                <c:pt idx="27">
                  <c:v>44531</c:v>
                </c:pt>
                <c:pt idx="28">
                  <c:v>44896</c:v>
                </c:pt>
              </c:numCache>
            </c:numRef>
          </c:cat>
          <c:val>
            <c:numRef>
              <c:f>Fuel_Impact!$G$2:$G$30</c:f>
              <c:numCache>
                <c:formatCode>0.00%</c:formatCode>
                <c:ptCount val="29"/>
                <c:pt idx="0">
                  <c:v>0</c:v>
                </c:pt>
                <c:pt idx="1">
                  <c:v>5.3401144310235071E-2</c:v>
                </c:pt>
                <c:pt idx="2">
                  <c:v>6.5178032589016374E-2</c:v>
                </c:pt>
                <c:pt idx="3">
                  <c:v>-0.11274787535410769</c:v>
                </c:pt>
                <c:pt idx="4">
                  <c:v>6.066411238825032E-2</c:v>
                </c:pt>
                <c:pt idx="5">
                  <c:v>6.6827212522576729E-2</c:v>
                </c:pt>
                <c:pt idx="6">
                  <c:v>-0.11512415349887122</c:v>
                </c:pt>
                <c:pt idx="7">
                  <c:v>6.9515306122448828E-2</c:v>
                </c:pt>
                <c:pt idx="8">
                  <c:v>5.6648777579010143E-2</c:v>
                </c:pt>
                <c:pt idx="9">
                  <c:v>-0.10948081264108341</c:v>
                </c:pt>
                <c:pt idx="10">
                  <c:v>7.7946768060836391E-2</c:v>
                </c:pt>
                <c:pt idx="11">
                  <c:v>4.7031158142269255E-2</c:v>
                </c:pt>
                <c:pt idx="12">
                  <c:v>-9.9382369455362093E-2</c:v>
                </c:pt>
                <c:pt idx="13">
                  <c:v>7.0448877805486171E-2</c:v>
                </c:pt>
                <c:pt idx="14">
                  <c:v>4.3098427489807842E-2</c:v>
                </c:pt>
                <c:pt idx="15">
                  <c:v>-9.9385817978782709E-2</c:v>
                </c:pt>
                <c:pt idx="16">
                  <c:v>7.0055796652200755E-2</c:v>
                </c:pt>
                <c:pt idx="17">
                  <c:v>-5.8516801853997651E-2</c:v>
                </c:pt>
                <c:pt idx="18">
                  <c:v>6.7076923076923117E-2</c:v>
                </c:pt>
                <c:pt idx="19">
                  <c:v>-5.8823529411764802E-2</c:v>
                </c:pt>
                <c:pt idx="20">
                  <c:v>6.8014705882353088E-2</c:v>
                </c:pt>
                <c:pt idx="21">
                  <c:v>-6.3683304647160197E-2</c:v>
                </c:pt>
                <c:pt idx="22">
                  <c:v>7.4142156862745237E-2</c:v>
                </c:pt>
                <c:pt idx="23">
                  <c:v>-5.5904164289788998E-2</c:v>
                </c:pt>
                <c:pt idx="24">
                  <c:v>6.7673716012084523E-2</c:v>
                </c:pt>
                <c:pt idx="25">
                  <c:v>-5.6593095642331642E-2</c:v>
                </c:pt>
                <c:pt idx="26">
                  <c:v>5.8788242351529768E-2</c:v>
                </c:pt>
                <c:pt idx="27">
                  <c:v>-5.8356940509915078E-2</c:v>
                </c:pt>
                <c:pt idx="28">
                  <c:v>5.7160048134777382E-2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737-4DAE-AC49-2FD2B5939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1638752"/>
        <c:axId val="831647872"/>
      </c:lineChart>
      <c:dateAx>
        <c:axId val="831638752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647872"/>
        <c:crosses val="autoZero"/>
        <c:auto val="1"/>
        <c:lblOffset val="100"/>
        <c:baseTimeUnit val="months"/>
      </c:dateAx>
      <c:valAx>
        <c:axId val="83164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Inflation</a:t>
                </a:r>
                <a:r>
                  <a:rPr lang="en-US" baseline="0"/>
                  <a:t> Rate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63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Current Category wise contribution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7F-4FFB-8CA7-DE4AC47FE1B5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7F-4FFB-8CA7-DE4AC47FE1B5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E7F-4FFB-8CA7-DE4AC47FE1B5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E7F-4FFB-8CA7-DE4AC47FE1B5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E7F-4FFB-8CA7-DE4AC47FE1B5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E7F-4FFB-8CA7-DE4AC47FE1B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'Category Contribution Analysis'!$E$1:$M$1</c15:sqref>
                  </c15:fullRef>
                </c:ext>
              </c:extLst>
              <c:f>('Category Contribution Analysis'!$E$1:$F$1,'Category Contribution Analysis'!$I$1,'Category Contribution Analysis'!$K$1:$M$1)</c:f>
              <c:strCache>
                <c:ptCount val="6"/>
                <c:pt idx="0">
                  <c:v>Food and beverages</c:v>
                </c:pt>
                <c:pt idx="1">
                  <c:v>Pan, tobacco and intoxicants</c:v>
                </c:pt>
                <c:pt idx="2">
                  <c:v>Fuel and light</c:v>
                </c:pt>
                <c:pt idx="3">
                  <c:v>Health</c:v>
                </c:pt>
                <c:pt idx="4">
                  <c:v>Transport and communication</c:v>
                </c:pt>
                <c:pt idx="5">
                  <c:v>Education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'Category Contribution Analysis'!$E$2:$M$2</c15:sqref>
                  </c15:fullRef>
                </c:ext>
              </c:extLst>
              <c:f>('Category Contribution Analysis'!$E$2:$F$2,'Category Contribution Analysis'!$I$2,'Category Contribution Analysis'!$K$2:$M$2)</c:f>
              <c:numCache>
                <c:formatCode>General</c:formatCode>
                <c:ptCount val="6"/>
                <c:pt idx="0">
                  <c:v>179.1</c:v>
                </c:pt>
                <c:pt idx="1">
                  <c:v>201</c:v>
                </c:pt>
                <c:pt idx="2">
                  <c:v>182.8</c:v>
                </c:pt>
                <c:pt idx="3">
                  <c:v>185.7</c:v>
                </c:pt>
                <c:pt idx="4">
                  <c:v>164.8</c:v>
                </c:pt>
                <c:pt idx="5">
                  <c:v>177.1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C-3E7F-4FFB-8CA7-DE4AC47FE1B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Current Category wise contribution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439-497F-8C5B-23AA5D936532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439-497F-8C5B-23AA5D936532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439-497F-8C5B-23AA5D936532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83-4994-9C4E-95EA0D854608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439-497F-8C5B-23AA5D936532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439-497F-8C5B-23AA5D9365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'Category Contribution Analysis'!$E$1:$M$1</c15:sqref>
                  </c15:fullRef>
                </c:ext>
              </c:extLst>
              <c:f>('Category Contribution Analysis'!$E$1:$F$1,'Category Contribution Analysis'!$I$1,'Category Contribution Analysis'!$K$1:$M$1)</c:f>
              <c:strCache>
                <c:ptCount val="6"/>
                <c:pt idx="0">
                  <c:v>Food and beverages</c:v>
                </c:pt>
                <c:pt idx="1">
                  <c:v>Pan, tobacco and intoxicants</c:v>
                </c:pt>
                <c:pt idx="2">
                  <c:v>Fuel and light</c:v>
                </c:pt>
                <c:pt idx="3">
                  <c:v>Health</c:v>
                </c:pt>
                <c:pt idx="4">
                  <c:v>Transport and communication</c:v>
                </c:pt>
                <c:pt idx="5">
                  <c:v>Education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'Category Contribution Analysis'!$E$2:$M$2</c15:sqref>
                  </c15:fullRef>
                </c:ext>
              </c:extLst>
              <c:f>('Category Contribution Analysis'!$E$2:$F$2,'Category Contribution Analysis'!$I$2,'Category Contribution Analysis'!$K$2:$M$2)</c:f>
              <c:numCache>
                <c:formatCode>General</c:formatCode>
                <c:ptCount val="6"/>
                <c:pt idx="0">
                  <c:v>179.1</c:v>
                </c:pt>
                <c:pt idx="1">
                  <c:v>201</c:v>
                </c:pt>
                <c:pt idx="2">
                  <c:v>182.8</c:v>
                </c:pt>
                <c:pt idx="3">
                  <c:v>185.7</c:v>
                </c:pt>
                <c:pt idx="4">
                  <c:v>164.8</c:v>
                </c:pt>
                <c:pt idx="5">
                  <c:v>177.1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'Category Contribution Analysis'!$G$2</c15:sqref>
                  <c15:bubble3D val="0"/>
                </c15:categoryFilterException>
                <c15:categoryFilterException>
                  <c15:sqref>'Category Contribution Analysis'!$H$2</c15:sqref>
                  <c15:bubble3D val="0"/>
                </c15:categoryFilterException>
                <c15:categoryFilterException>
                  <c15:sqref>'Category Contribution Analysis'!$J$2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8D83-4994-9C4E-95EA0D85460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166666666666672"/>
          <c:y val="0.17384602320260115"/>
          <c:w val="0.34166666666666667"/>
          <c:h val="0.67562532715110357"/>
        </c:manualLayout>
      </c:layout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Year-on-Year(YoY) CPI</a:t>
            </a:r>
            <a:r>
              <a:rPr lang="en-US" baseline="0"/>
              <a:t> Inflation Growth</a:t>
            </a:r>
            <a:r>
              <a:rPr lang="en-US"/>
              <a:t> Trend</a:t>
            </a:r>
          </a:p>
        </c:rich>
      </c:tx>
      <c:layout>
        <c:manualLayout>
          <c:xMode val="edge"/>
          <c:yMode val="edge"/>
          <c:x val="0.20260411198600173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72003499562554"/>
          <c:y val="0.20894069096399984"/>
          <c:w val="0.83772440944881887"/>
          <c:h val="0.68848239609092388"/>
        </c:manualLayout>
      </c:layout>
      <c:lineChart>
        <c:grouping val="standard"/>
        <c:varyColors val="0"/>
        <c:ser>
          <c:idx val="0"/>
          <c:order val="0"/>
          <c:tx>
            <c:strRef>
              <c:f>YOY!$I$3</c:f>
              <c:strCache>
                <c:ptCount val="1"/>
                <c:pt idx="0">
                  <c:v>Average of General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YOY!$H$4:$H$14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YOY!$I$4:$I$14</c:f>
              <c:numCache>
                <c:formatCode>0%</c:formatCode>
                <c:ptCount val="11"/>
                <c:pt idx="0">
                  <c:v>0</c:v>
                </c:pt>
                <c:pt idx="1">
                  <c:v>6.6481504860497226E-2</c:v>
                </c:pt>
                <c:pt idx="2">
                  <c:v>4.8652871821582552E-2</c:v>
                </c:pt>
                <c:pt idx="3">
                  <c:v>4.9285440137268044E-2</c:v>
                </c:pt>
                <c:pt idx="4">
                  <c:v>3.3199931147258686E-2</c:v>
                </c:pt>
                <c:pt idx="5">
                  <c:v>3.9609321310314437E-2</c:v>
                </c:pt>
                <c:pt idx="6">
                  <c:v>3.9358550145593821E-2</c:v>
                </c:pt>
                <c:pt idx="7">
                  <c:v>5.9114068654247731E-2</c:v>
                </c:pt>
                <c:pt idx="8">
                  <c:v>5.7449092861172474E-2</c:v>
                </c:pt>
                <c:pt idx="9">
                  <c:v>6.6029943211151423E-2</c:v>
                </c:pt>
                <c:pt idx="10">
                  <c:v>3.1953121216523474E-2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DA-404D-A4F3-71BB51F906C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23258175"/>
        <c:axId val="1323244735"/>
      </c:lineChart>
      <c:catAx>
        <c:axId val="132325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244735"/>
        <c:crosses val="autoZero"/>
        <c:auto val="1"/>
        <c:lblAlgn val="ctr"/>
        <c:lblOffset val="100"/>
        <c:noMultiLvlLbl val="0"/>
      </c:catAx>
      <c:valAx>
        <c:axId val="132324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Inflamation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258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Food!$M$1</c:f>
              <c:strCache>
                <c:ptCount val="1"/>
                <c:pt idx="0">
                  <c:v>Food and beverages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Food!$D$2:$D$125</c:f>
              <c:numCache>
                <c:formatCode>[$-409]mmm\-yy;@</c:formatCode>
                <c:ptCount val="124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  <c:pt idx="37">
                  <c:v>42401</c:v>
                </c:pt>
                <c:pt idx="38">
                  <c:v>42430</c:v>
                </c:pt>
                <c:pt idx="39">
                  <c:v>42461</c:v>
                </c:pt>
                <c:pt idx="40">
                  <c:v>42491</c:v>
                </c:pt>
                <c:pt idx="41">
                  <c:v>42522</c:v>
                </c:pt>
                <c:pt idx="42">
                  <c:v>42552</c:v>
                </c:pt>
                <c:pt idx="43">
                  <c:v>42583</c:v>
                </c:pt>
                <c:pt idx="44">
                  <c:v>42614</c:v>
                </c:pt>
                <c:pt idx="45">
                  <c:v>42644</c:v>
                </c:pt>
                <c:pt idx="46">
                  <c:v>42675</c:v>
                </c:pt>
                <c:pt idx="47">
                  <c:v>42705</c:v>
                </c:pt>
                <c:pt idx="48">
                  <c:v>42736</c:v>
                </c:pt>
                <c:pt idx="49">
                  <c:v>42767</c:v>
                </c:pt>
                <c:pt idx="50">
                  <c:v>42795</c:v>
                </c:pt>
                <c:pt idx="51">
                  <c:v>42826</c:v>
                </c:pt>
                <c:pt idx="52">
                  <c:v>42856</c:v>
                </c:pt>
                <c:pt idx="53">
                  <c:v>42887</c:v>
                </c:pt>
                <c:pt idx="54">
                  <c:v>42917</c:v>
                </c:pt>
                <c:pt idx="55">
                  <c:v>42948</c:v>
                </c:pt>
                <c:pt idx="56">
                  <c:v>42979</c:v>
                </c:pt>
                <c:pt idx="57">
                  <c:v>43009</c:v>
                </c:pt>
                <c:pt idx="58">
                  <c:v>43040</c:v>
                </c:pt>
                <c:pt idx="59">
                  <c:v>43070</c:v>
                </c:pt>
                <c:pt idx="60">
                  <c:v>43101</c:v>
                </c:pt>
                <c:pt idx="61">
                  <c:v>43132</c:v>
                </c:pt>
                <c:pt idx="62">
                  <c:v>43160</c:v>
                </c:pt>
                <c:pt idx="63">
                  <c:v>43191</c:v>
                </c:pt>
                <c:pt idx="64">
                  <c:v>43221</c:v>
                </c:pt>
                <c:pt idx="65">
                  <c:v>43252</c:v>
                </c:pt>
                <c:pt idx="66">
                  <c:v>43282</c:v>
                </c:pt>
                <c:pt idx="67">
                  <c:v>43313</c:v>
                </c:pt>
                <c:pt idx="68">
                  <c:v>43344</c:v>
                </c:pt>
                <c:pt idx="69">
                  <c:v>43374</c:v>
                </c:pt>
                <c:pt idx="70">
                  <c:v>43405</c:v>
                </c:pt>
                <c:pt idx="71">
                  <c:v>43435</c:v>
                </c:pt>
                <c:pt idx="72">
                  <c:v>43466</c:v>
                </c:pt>
                <c:pt idx="73">
                  <c:v>43497</c:v>
                </c:pt>
                <c:pt idx="74">
                  <c:v>43525</c:v>
                </c:pt>
                <c:pt idx="75">
                  <c:v>43586</c:v>
                </c:pt>
                <c:pt idx="76">
                  <c:v>43617</c:v>
                </c:pt>
                <c:pt idx="77">
                  <c:v>43647</c:v>
                </c:pt>
                <c:pt idx="78">
                  <c:v>43678</c:v>
                </c:pt>
                <c:pt idx="79">
                  <c:v>43709</c:v>
                </c:pt>
                <c:pt idx="80">
                  <c:v>43739</c:v>
                </c:pt>
                <c:pt idx="81">
                  <c:v>43770</c:v>
                </c:pt>
                <c:pt idx="82">
                  <c:v>43800</c:v>
                </c:pt>
                <c:pt idx="83">
                  <c:v>43831</c:v>
                </c:pt>
                <c:pt idx="84">
                  <c:v>43862</c:v>
                </c:pt>
                <c:pt idx="85">
                  <c:v>43891</c:v>
                </c:pt>
                <c:pt idx="86">
                  <c:v>43922</c:v>
                </c:pt>
                <c:pt idx="87">
                  <c:v>43952</c:v>
                </c:pt>
                <c:pt idx="88">
                  <c:v>43983</c:v>
                </c:pt>
                <c:pt idx="89">
                  <c:v>44013</c:v>
                </c:pt>
                <c:pt idx="90">
                  <c:v>44044</c:v>
                </c:pt>
                <c:pt idx="91">
                  <c:v>44075</c:v>
                </c:pt>
                <c:pt idx="92">
                  <c:v>44105</c:v>
                </c:pt>
                <c:pt idx="93">
                  <c:v>44136</c:v>
                </c:pt>
                <c:pt idx="94">
                  <c:v>44166</c:v>
                </c:pt>
                <c:pt idx="95">
                  <c:v>44197</c:v>
                </c:pt>
                <c:pt idx="96">
                  <c:v>44228</c:v>
                </c:pt>
                <c:pt idx="97">
                  <c:v>44256</c:v>
                </c:pt>
                <c:pt idx="98">
                  <c:v>44287</c:v>
                </c:pt>
                <c:pt idx="99">
                  <c:v>44317</c:v>
                </c:pt>
                <c:pt idx="100">
                  <c:v>44348</c:v>
                </c:pt>
                <c:pt idx="101">
                  <c:v>44378</c:v>
                </c:pt>
                <c:pt idx="102">
                  <c:v>44409</c:v>
                </c:pt>
                <c:pt idx="103">
                  <c:v>44440</c:v>
                </c:pt>
                <c:pt idx="104">
                  <c:v>44470</c:v>
                </c:pt>
                <c:pt idx="105">
                  <c:v>44501</c:v>
                </c:pt>
                <c:pt idx="106">
                  <c:v>44531</c:v>
                </c:pt>
                <c:pt idx="107">
                  <c:v>44562</c:v>
                </c:pt>
                <c:pt idx="108">
                  <c:v>44593</c:v>
                </c:pt>
                <c:pt idx="109">
                  <c:v>44621</c:v>
                </c:pt>
                <c:pt idx="110">
                  <c:v>44652</c:v>
                </c:pt>
                <c:pt idx="111">
                  <c:v>44682</c:v>
                </c:pt>
                <c:pt idx="112">
                  <c:v>44713</c:v>
                </c:pt>
                <c:pt idx="113">
                  <c:v>44743</c:v>
                </c:pt>
                <c:pt idx="114">
                  <c:v>44774</c:v>
                </c:pt>
                <c:pt idx="115">
                  <c:v>44805</c:v>
                </c:pt>
                <c:pt idx="116">
                  <c:v>44835</c:v>
                </c:pt>
                <c:pt idx="117">
                  <c:v>44866</c:v>
                </c:pt>
                <c:pt idx="118">
                  <c:v>44896</c:v>
                </c:pt>
                <c:pt idx="119">
                  <c:v>44927</c:v>
                </c:pt>
                <c:pt idx="120">
                  <c:v>44958</c:v>
                </c:pt>
                <c:pt idx="121">
                  <c:v>44986</c:v>
                </c:pt>
                <c:pt idx="122">
                  <c:v>45017</c:v>
                </c:pt>
                <c:pt idx="123">
                  <c:v>45047</c:v>
                </c:pt>
              </c:numCache>
            </c:numRef>
          </c:cat>
          <c:val>
            <c:numRef>
              <c:f>Food!$M$2:$M$125</c:f>
              <c:numCache>
                <c:formatCode>General</c:formatCode>
                <c:ptCount val="124"/>
                <c:pt idx="0">
                  <c:v>105.6</c:v>
                </c:pt>
                <c:pt idx="1">
                  <c:v>106.6</c:v>
                </c:pt>
                <c:pt idx="2">
                  <c:v>106.9</c:v>
                </c:pt>
                <c:pt idx="3">
                  <c:v>107.7</c:v>
                </c:pt>
                <c:pt idx="4">
                  <c:v>109.2</c:v>
                </c:pt>
                <c:pt idx="5">
                  <c:v>112.2</c:v>
                </c:pt>
                <c:pt idx="6">
                  <c:v>114.7</c:v>
                </c:pt>
                <c:pt idx="7">
                  <c:v>116.6</c:v>
                </c:pt>
                <c:pt idx="8">
                  <c:v>118.3</c:v>
                </c:pt>
                <c:pt idx="9">
                  <c:v>120.2</c:v>
                </c:pt>
                <c:pt idx="10">
                  <c:v>122.6</c:v>
                </c:pt>
                <c:pt idx="11">
                  <c:v>118.4</c:v>
                </c:pt>
                <c:pt idx="12">
                  <c:v>115.8</c:v>
                </c:pt>
                <c:pt idx="13">
                  <c:v>115.3</c:v>
                </c:pt>
                <c:pt idx="14">
                  <c:v>116.1</c:v>
                </c:pt>
                <c:pt idx="15">
                  <c:v>117.6</c:v>
                </c:pt>
                <c:pt idx="16">
                  <c:v>118.9</c:v>
                </c:pt>
                <c:pt idx="17">
                  <c:v>120.4</c:v>
                </c:pt>
                <c:pt idx="18">
                  <c:v>124.7</c:v>
                </c:pt>
                <c:pt idx="19">
                  <c:v>126.6</c:v>
                </c:pt>
                <c:pt idx="20">
                  <c:v>125.8</c:v>
                </c:pt>
                <c:pt idx="21">
                  <c:v>125.4</c:v>
                </c:pt>
                <c:pt idx="22">
                  <c:v>125.1</c:v>
                </c:pt>
                <c:pt idx="23">
                  <c:v>123.6</c:v>
                </c:pt>
                <c:pt idx="24">
                  <c:v>123.1</c:v>
                </c:pt>
                <c:pt idx="25">
                  <c:v>123.1</c:v>
                </c:pt>
                <c:pt idx="26">
                  <c:v>123.4</c:v>
                </c:pt>
                <c:pt idx="27">
                  <c:v>124</c:v>
                </c:pt>
                <c:pt idx="28">
                  <c:v>125</c:v>
                </c:pt>
                <c:pt idx="29">
                  <c:v>127.3</c:v>
                </c:pt>
                <c:pt idx="30">
                  <c:v>128.19999999999999</c:v>
                </c:pt>
                <c:pt idx="31">
                  <c:v>130.30000000000001</c:v>
                </c:pt>
                <c:pt idx="32">
                  <c:v>131.19999999999999</c:v>
                </c:pt>
                <c:pt idx="33">
                  <c:v>132.1</c:v>
                </c:pt>
                <c:pt idx="34">
                  <c:v>132.69999999999999</c:v>
                </c:pt>
                <c:pt idx="35">
                  <c:v>131.4</c:v>
                </c:pt>
                <c:pt idx="36">
                  <c:v>131.30000000000001</c:v>
                </c:pt>
                <c:pt idx="37">
                  <c:v>129.9</c:v>
                </c:pt>
                <c:pt idx="38">
                  <c:v>129.80000000000001</c:v>
                </c:pt>
                <c:pt idx="39">
                  <c:v>131.80000000000001</c:v>
                </c:pt>
                <c:pt idx="40">
                  <c:v>134</c:v>
                </c:pt>
                <c:pt idx="41">
                  <c:v>136.80000000000001</c:v>
                </c:pt>
                <c:pt idx="42">
                  <c:v>138.4</c:v>
                </c:pt>
                <c:pt idx="43">
                  <c:v>137.9</c:v>
                </c:pt>
                <c:pt idx="44">
                  <c:v>136.6</c:v>
                </c:pt>
                <c:pt idx="45">
                  <c:v>137</c:v>
                </c:pt>
                <c:pt idx="46">
                  <c:v>136.1</c:v>
                </c:pt>
                <c:pt idx="47">
                  <c:v>134</c:v>
                </c:pt>
                <c:pt idx="48">
                  <c:v>133.1</c:v>
                </c:pt>
                <c:pt idx="49">
                  <c:v>133</c:v>
                </c:pt>
                <c:pt idx="50">
                  <c:v>133.1</c:v>
                </c:pt>
                <c:pt idx="51">
                  <c:v>133.5</c:v>
                </c:pt>
                <c:pt idx="52">
                  <c:v>133.69999999999999</c:v>
                </c:pt>
                <c:pt idx="53">
                  <c:v>135.19999999999999</c:v>
                </c:pt>
                <c:pt idx="54">
                  <c:v>139</c:v>
                </c:pt>
                <c:pt idx="55">
                  <c:v>140.6</c:v>
                </c:pt>
                <c:pt idx="56">
                  <c:v>139</c:v>
                </c:pt>
                <c:pt idx="57">
                  <c:v>140.1</c:v>
                </c:pt>
                <c:pt idx="58">
                  <c:v>142.1</c:v>
                </c:pt>
                <c:pt idx="59">
                  <c:v>140.5</c:v>
                </c:pt>
                <c:pt idx="60">
                  <c:v>139.19999999999999</c:v>
                </c:pt>
                <c:pt idx="61">
                  <c:v>137.6</c:v>
                </c:pt>
                <c:pt idx="62">
                  <c:v>137.19999999999999</c:v>
                </c:pt>
                <c:pt idx="63">
                  <c:v>137.5</c:v>
                </c:pt>
                <c:pt idx="64">
                  <c:v>138.1</c:v>
                </c:pt>
                <c:pt idx="65">
                  <c:v>139.4</c:v>
                </c:pt>
                <c:pt idx="66">
                  <c:v>141.4</c:v>
                </c:pt>
                <c:pt idx="67">
                  <c:v>141.69999999999999</c:v>
                </c:pt>
                <c:pt idx="68">
                  <c:v>140.4</c:v>
                </c:pt>
                <c:pt idx="69">
                  <c:v>139.69999999999999</c:v>
                </c:pt>
                <c:pt idx="70">
                  <c:v>139.69999999999999</c:v>
                </c:pt>
                <c:pt idx="71">
                  <c:v>138.19999999999999</c:v>
                </c:pt>
                <c:pt idx="72">
                  <c:v>137.4</c:v>
                </c:pt>
                <c:pt idx="73">
                  <c:v>137.5</c:v>
                </c:pt>
                <c:pt idx="74">
                  <c:v>138.1</c:v>
                </c:pt>
                <c:pt idx="75">
                  <c:v>140.9</c:v>
                </c:pt>
                <c:pt idx="76">
                  <c:v>142.69999999999999</c:v>
                </c:pt>
                <c:pt idx="77">
                  <c:v>144.69999999999999</c:v>
                </c:pt>
                <c:pt idx="78">
                  <c:v>145.9</c:v>
                </c:pt>
                <c:pt idx="79">
                  <c:v>147</c:v>
                </c:pt>
                <c:pt idx="80">
                  <c:v>149.6</c:v>
                </c:pt>
                <c:pt idx="81">
                  <c:v>151.9</c:v>
                </c:pt>
                <c:pt idx="82">
                  <c:v>155</c:v>
                </c:pt>
                <c:pt idx="83">
                  <c:v>153.5</c:v>
                </c:pt>
                <c:pt idx="84">
                  <c:v>150.5</c:v>
                </c:pt>
                <c:pt idx="85">
                  <c:v>148.9</c:v>
                </c:pt>
                <c:pt idx="86">
                  <c:v>151.4</c:v>
                </c:pt>
                <c:pt idx="87">
                  <c:v>151.1</c:v>
                </c:pt>
                <c:pt idx="88">
                  <c:v>154</c:v>
                </c:pt>
                <c:pt idx="89">
                  <c:v>154</c:v>
                </c:pt>
                <c:pt idx="90">
                  <c:v>157</c:v>
                </c:pt>
                <c:pt idx="91">
                  <c:v>158</c:v>
                </c:pt>
                <c:pt idx="92">
                  <c:v>161.4</c:v>
                </c:pt>
                <c:pt idx="93">
                  <c:v>164.7</c:v>
                </c:pt>
                <c:pt idx="94">
                  <c:v>165.4</c:v>
                </c:pt>
                <c:pt idx="95">
                  <c:v>161</c:v>
                </c:pt>
                <c:pt idx="96">
                  <c:v>156.9</c:v>
                </c:pt>
                <c:pt idx="97">
                  <c:v>156.69999999999999</c:v>
                </c:pt>
                <c:pt idx="98">
                  <c:v>158</c:v>
                </c:pt>
                <c:pt idx="99">
                  <c:v>160.69999999999999</c:v>
                </c:pt>
                <c:pt idx="100">
                  <c:v>162.6</c:v>
                </c:pt>
                <c:pt idx="101">
                  <c:v>164</c:v>
                </c:pt>
                <c:pt idx="102">
                  <c:v>164</c:v>
                </c:pt>
                <c:pt idx="103">
                  <c:v>164</c:v>
                </c:pt>
                <c:pt idx="104">
                  <c:v>167.7</c:v>
                </c:pt>
                <c:pt idx="105">
                  <c:v>169.7</c:v>
                </c:pt>
                <c:pt idx="106">
                  <c:v>168.2</c:v>
                </c:pt>
                <c:pt idx="107">
                  <c:v>166.4</c:v>
                </c:pt>
                <c:pt idx="108">
                  <c:v>166.2</c:v>
                </c:pt>
                <c:pt idx="109">
                  <c:v>168.4</c:v>
                </c:pt>
                <c:pt idx="110">
                  <c:v>170.8</c:v>
                </c:pt>
                <c:pt idx="111">
                  <c:v>173.3</c:v>
                </c:pt>
                <c:pt idx="112">
                  <c:v>174.9</c:v>
                </c:pt>
                <c:pt idx="113">
                  <c:v>175</c:v>
                </c:pt>
                <c:pt idx="114">
                  <c:v>176.3</c:v>
                </c:pt>
                <c:pt idx="115">
                  <c:v>177.8</c:v>
                </c:pt>
                <c:pt idx="116">
                  <c:v>179.6</c:v>
                </c:pt>
                <c:pt idx="117">
                  <c:v>178.3</c:v>
                </c:pt>
                <c:pt idx="118">
                  <c:v>175.9</c:v>
                </c:pt>
                <c:pt idx="119">
                  <c:v>176.7</c:v>
                </c:pt>
                <c:pt idx="120">
                  <c:v>177</c:v>
                </c:pt>
                <c:pt idx="121">
                  <c:v>177</c:v>
                </c:pt>
                <c:pt idx="122">
                  <c:v>177.9</c:v>
                </c:pt>
                <c:pt idx="123">
                  <c:v>179.1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86-4341-A87A-B4C4C4437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7120367"/>
        <c:axId val="737121327"/>
      </c:lineChart>
      <c:dateAx>
        <c:axId val="737120367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121327"/>
        <c:crosses val="autoZero"/>
        <c:auto val="1"/>
        <c:lblOffset val="100"/>
        <c:baseTimeUnit val="months"/>
      </c:dateAx>
      <c:valAx>
        <c:axId val="73712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120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Food</a:t>
            </a:r>
            <a:r>
              <a:rPr lang="en-US" baseline="0"/>
              <a:t> Bucket Month-on-Month Changes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Food!$N$1</c:f>
              <c:strCache>
                <c:ptCount val="1"/>
                <c:pt idx="0">
                  <c:v>monthly changes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Food!$D$2:$D$125</c15:sqref>
                  </c15:fullRef>
                </c:ext>
              </c:extLst>
              <c:f>Food!$D$114:$D$125</c:f>
              <c:numCache>
                <c:formatCode>[$-409]mmm\-yy;@</c:formatCode>
                <c:ptCount val="12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Food!$N$2:$N$125</c15:sqref>
                  </c15:fullRef>
                </c:ext>
              </c:extLst>
              <c:f>Food!$N$114:$N$125</c:f>
              <c:numCache>
                <c:formatCode>0.0%</c:formatCode>
                <c:ptCount val="12"/>
                <c:pt idx="0">
                  <c:v>9.2325447201384546E-3</c:v>
                </c:pt>
                <c:pt idx="1">
                  <c:v>5.7175528873638828E-4</c:v>
                </c:pt>
                <c:pt idx="2">
                  <c:v>7.4285714285714935E-3</c:v>
                </c:pt>
                <c:pt idx="3">
                  <c:v>8.5082246171298923E-3</c:v>
                </c:pt>
                <c:pt idx="4">
                  <c:v>1.0123734533183255E-2</c:v>
                </c:pt>
                <c:pt idx="5">
                  <c:v>-7.2383073496658295E-3</c:v>
                </c:pt>
                <c:pt idx="6">
                  <c:v>-1.3460459899046581E-2</c:v>
                </c:pt>
                <c:pt idx="7">
                  <c:v>4.5480386583284984E-3</c:v>
                </c:pt>
                <c:pt idx="8">
                  <c:v>1.6977928692700134E-3</c:v>
                </c:pt>
                <c:pt idx="9">
                  <c:v>0</c:v>
                </c:pt>
                <c:pt idx="10">
                  <c:v>5.0847457627118961E-3</c:v>
                </c:pt>
                <c:pt idx="11">
                  <c:v>6.7453625632377095E-3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F9-465F-9DB5-1BF2C4CC516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40762879"/>
        <c:axId val="340764319"/>
      </c:lineChart>
      <c:dateAx>
        <c:axId val="340762879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764319"/>
        <c:crosses val="autoZero"/>
        <c:auto val="1"/>
        <c:lblOffset val="100"/>
        <c:baseTimeUnit val="months"/>
      </c:dateAx>
      <c:valAx>
        <c:axId val="340764319"/>
        <c:scaling>
          <c:orientation val="minMax"/>
        </c:scaling>
        <c:delete val="0"/>
        <c:axPos val="l"/>
        <c:numFmt formatCode="0.0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762879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Food!$H$1</c:f>
              <c:strCache>
                <c:ptCount val="1"/>
                <c:pt idx="0">
                  <c:v>Oils and fats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Food!$D$2:$D$125</c:f>
              <c:numCache>
                <c:formatCode>[$-409]mmm\-yy;@</c:formatCode>
                <c:ptCount val="124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  <c:pt idx="37">
                  <c:v>42401</c:v>
                </c:pt>
                <c:pt idx="38">
                  <c:v>42430</c:v>
                </c:pt>
                <c:pt idx="39">
                  <c:v>42461</c:v>
                </c:pt>
                <c:pt idx="40">
                  <c:v>42491</c:v>
                </c:pt>
                <c:pt idx="41">
                  <c:v>42522</c:v>
                </c:pt>
                <c:pt idx="42">
                  <c:v>42552</c:v>
                </c:pt>
                <c:pt idx="43">
                  <c:v>42583</c:v>
                </c:pt>
                <c:pt idx="44">
                  <c:v>42614</c:v>
                </c:pt>
                <c:pt idx="45">
                  <c:v>42644</c:v>
                </c:pt>
                <c:pt idx="46">
                  <c:v>42675</c:v>
                </c:pt>
                <c:pt idx="47">
                  <c:v>42705</c:v>
                </c:pt>
                <c:pt idx="48">
                  <c:v>42736</c:v>
                </c:pt>
                <c:pt idx="49">
                  <c:v>42767</c:v>
                </c:pt>
                <c:pt idx="50">
                  <c:v>42795</c:v>
                </c:pt>
                <c:pt idx="51">
                  <c:v>42826</c:v>
                </c:pt>
                <c:pt idx="52">
                  <c:v>42856</c:v>
                </c:pt>
                <c:pt idx="53">
                  <c:v>42887</c:v>
                </c:pt>
                <c:pt idx="54">
                  <c:v>42917</c:v>
                </c:pt>
                <c:pt idx="55">
                  <c:v>42948</c:v>
                </c:pt>
                <c:pt idx="56">
                  <c:v>42979</c:v>
                </c:pt>
                <c:pt idx="57">
                  <c:v>43009</c:v>
                </c:pt>
                <c:pt idx="58">
                  <c:v>43040</c:v>
                </c:pt>
                <c:pt idx="59">
                  <c:v>43070</c:v>
                </c:pt>
                <c:pt idx="60">
                  <c:v>43101</c:v>
                </c:pt>
                <c:pt idx="61">
                  <c:v>43132</c:v>
                </c:pt>
                <c:pt idx="62">
                  <c:v>43160</c:v>
                </c:pt>
                <c:pt idx="63">
                  <c:v>43191</c:v>
                </c:pt>
                <c:pt idx="64">
                  <c:v>43221</c:v>
                </c:pt>
                <c:pt idx="65">
                  <c:v>43252</c:v>
                </c:pt>
                <c:pt idx="66">
                  <c:v>43282</c:v>
                </c:pt>
                <c:pt idx="67">
                  <c:v>43313</c:v>
                </c:pt>
                <c:pt idx="68">
                  <c:v>43344</c:v>
                </c:pt>
                <c:pt idx="69">
                  <c:v>43374</c:v>
                </c:pt>
                <c:pt idx="70">
                  <c:v>43405</c:v>
                </c:pt>
                <c:pt idx="71">
                  <c:v>43435</c:v>
                </c:pt>
                <c:pt idx="72">
                  <c:v>43466</c:v>
                </c:pt>
                <c:pt idx="73">
                  <c:v>43497</c:v>
                </c:pt>
                <c:pt idx="74">
                  <c:v>43525</c:v>
                </c:pt>
                <c:pt idx="75">
                  <c:v>43586</c:v>
                </c:pt>
                <c:pt idx="76">
                  <c:v>43617</c:v>
                </c:pt>
                <c:pt idx="77">
                  <c:v>43647</c:v>
                </c:pt>
                <c:pt idx="78">
                  <c:v>43678</c:v>
                </c:pt>
                <c:pt idx="79">
                  <c:v>43709</c:v>
                </c:pt>
                <c:pt idx="80">
                  <c:v>43739</c:v>
                </c:pt>
                <c:pt idx="81">
                  <c:v>43770</c:v>
                </c:pt>
                <c:pt idx="82">
                  <c:v>43800</c:v>
                </c:pt>
                <c:pt idx="83">
                  <c:v>43831</c:v>
                </c:pt>
                <c:pt idx="84">
                  <c:v>43862</c:v>
                </c:pt>
                <c:pt idx="85">
                  <c:v>43891</c:v>
                </c:pt>
                <c:pt idx="86">
                  <c:v>43922</c:v>
                </c:pt>
                <c:pt idx="87">
                  <c:v>43952</c:v>
                </c:pt>
                <c:pt idx="88">
                  <c:v>43983</c:v>
                </c:pt>
                <c:pt idx="89">
                  <c:v>44013</c:v>
                </c:pt>
                <c:pt idx="90">
                  <c:v>44044</c:v>
                </c:pt>
                <c:pt idx="91">
                  <c:v>44075</c:v>
                </c:pt>
                <c:pt idx="92">
                  <c:v>44105</c:v>
                </c:pt>
                <c:pt idx="93">
                  <c:v>44136</c:v>
                </c:pt>
                <c:pt idx="94">
                  <c:v>44166</c:v>
                </c:pt>
                <c:pt idx="95">
                  <c:v>44197</c:v>
                </c:pt>
                <c:pt idx="96">
                  <c:v>44228</c:v>
                </c:pt>
                <c:pt idx="97">
                  <c:v>44256</c:v>
                </c:pt>
                <c:pt idx="98">
                  <c:v>44287</c:v>
                </c:pt>
                <c:pt idx="99">
                  <c:v>44317</c:v>
                </c:pt>
                <c:pt idx="100">
                  <c:v>44348</c:v>
                </c:pt>
                <c:pt idx="101">
                  <c:v>44378</c:v>
                </c:pt>
                <c:pt idx="102">
                  <c:v>44409</c:v>
                </c:pt>
                <c:pt idx="103">
                  <c:v>44440</c:v>
                </c:pt>
                <c:pt idx="104">
                  <c:v>44470</c:v>
                </c:pt>
                <c:pt idx="105">
                  <c:v>44501</c:v>
                </c:pt>
                <c:pt idx="106">
                  <c:v>44531</c:v>
                </c:pt>
                <c:pt idx="107">
                  <c:v>44562</c:v>
                </c:pt>
                <c:pt idx="108">
                  <c:v>44593</c:v>
                </c:pt>
                <c:pt idx="109">
                  <c:v>44621</c:v>
                </c:pt>
                <c:pt idx="110">
                  <c:v>44652</c:v>
                </c:pt>
                <c:pt idx="111">
                  <c:v>44682</c:v>
                </c:pt>
                <c:pt idx="112">
                  <c:v>44713</c:v>
                </c:pt>
                <c:pt idx="113">
                  <c:v>44743</c:v>
                </c:pt>
                <c:pt idx="114">
                  <c:v>44774</c:v>
                </c:pt>
                <c:pt idx="115">
                  <c:v>44805</c:v>
                </c:pt>
                <c:pt idx="116">
                  <c:v>44835</c:v>
                </c:pt>
                <c:pt idx="117">
                  <c:v>44866</c:v>
                </c:pt>
                <c:pt idx="118">
                  <c:v>44896</c:v>
                </c:pt>
                <c:pt idx="119">
                  <c:v>44927</c:v>
                </c:pt>
                <c:pt idx="120">
                  <c:v>44958</c:v>
                </c:pt>
                <c:pt idx="121">
                  <c:v>44986</c:v>
                </c:pt>
                <c:pt idx="122">
                  <c:v>45017</c:v>
                </c:pt>
                <c:pt idx="123">
                  <c:v>45047</c:v>
                </c:pt>
              </c:numCache>
              <c:extLst xmlns:c15="http://schemas.microsoft.com/office/drawing/2012/chart"/>
            </c:numRef>
          </c:cat>
          <c:val>
            <c:numRef>
              <c:f>Food!$H$2:$H$125</c:f>
              <c:numCache>
                <c:formatCode>General</c:formatCode>
                <c:ptCount val="124"/>
                <c:pt idx="0">
                  <c:v>105.1</c:v>
                </c:pt>
                <c:pt idx="1">
                  <c:v>105.5</c:v>
                </c:pt>
                <c:pt idx="2">
                  <c:v>104.9</c:v>
                </c:pt>
                <c:pt idx="3">
                  <c:v>104.4</c:v>
                </c:pt>
                <c:pt idx="4">
                  <c:v>103.9</c:v>
                </c:pt>
                <c:pt idx="5">
                  <c:v>104.2</c:v>
                </c:pt>
                <c:pt idx="6">
                  <c:v>104.3</c:v>
                </c:pt>
                <c:pt idx="7">
                  <c:v>104.5</c:v>
                </c:pt>
                <c:pt idx="8">
                  <c:v>105.3</c:v>
                </c:pt>
                <c:pt idx="9">
                  <c:v>105.7</c:v>
                </c:pt>
                <c:pt idx="10">
                  <c:v>106.8</c:v>
                </c:pt>
                <c:pt idx="11">
                  <c:v>107.3</c:v>
                </c:pt>
                <c:pt idx="12">
                  <c:v>106.8</c:v>
                </c:pt>
                <c:pt idx="13">
                  <c:v>106.6</c:v>
                </c:pt>
                <c:pt idx="14">
                  <c:v>106.9</c:v>
                </c:pt>
                <c:pt idx="15">
                  <c:v>107.3</c:v>
                </c:pt>
                <c:pt idx="16">
                  <c:v>107.7</c:v>
                </c:pt>
                <c:pt idx="17">
                  <c:v>107.8</c:v>
                </c:pt>
                <c:pt idx="18">
                  <c:v>107.9</c:v>
                </c:pt>
                <c:pt idx="19">
                  <c:v>108</c:v>
                </c:pt>
                <c:pt idx="20">
                  <c:v>107.9</c:v>
                </c:pt>
                <c:pt idx="21">
                  <c:v>107.9</c:v>
                </c:pt>
                <c:pt idx="22">
                  <c:v>107.8</c:v>
                </c:pt>
                <c:pt idx="23">
                  <c:v>107.6</c:v>
                </c:pt>
                <c:pt idx="24">
                  <c:v>108.5</c:v>
                </c:pt>
                <c:pt idx="25">
                  <c:v>109.1</c:v>
                </c:pt>
                <c:pt idx="26">
                  <c:v>109.2</c:v>
                </c:pt>
                <c:pt idx="27">
                  <c:v>109.2</c:v>
                </c:pt>
                <c:pt idx="28">
                  <c:v>109.8</c:v>
                </c:pt>
                <c:pt idx="29">
                  <c:v>111.1</c:v>
                </c:pt>
                <c:pt idx="30">
                  <c:v>110.9</c:v>
                </c:pt>
                <c:pt idx="31">
                  <c:v>111.4</c:v>
                </c:pt>
                <c:pt idx="32">
                  <c:v>111.9</c:v>
                </c:pt>
                <c:pt idx="33">
                  <c:v>113.3</c:v>
                </c:pt>
                <c:pt idx="34">
                  <c:v>114.9</c:v>
                </c:pt>
                <c:pt idx="35">
                  <c:v>115.3</c:v>
                </c:pt>
                <c:pt idx="36">
                  <c:v>115.5</c:v>
                </c:pt>
                <c:pt idx="37">
                  <c:v>114.8</c:v>
                </c:pt>
                <c:pt idx="38">
                  <c:v>114.5</c:v>
                </c:pt>
                <c:pt idx="39">
                  <c:v>114.8</c:v>
                </c:pt>
                <c:pt idx="40">
                  <c:v>115</c:v>
                </c:pt>
                <c:pt idx="41">
                  <c:v>115.5</c:v>
                </c:pt>
                <c:pt idx="42">
                  <c:v>116.4</c:v>
                </c:pt>
                <c:pt idx="43">
                  <c:v>116.9</c:v>
                </c:pt>
                <c:pt idx="44">
                  <c:v>117.2</c:v>
                </c:pt>
                <c:pt idx="45">
                  <c:v>117.8</c:v>
                </c:pt>
                <c:pt idx="46">
                  <c:v>118</c:v>
                </c:pt>
                <c:pt idx="47">
                  <c:v>118.6</c:v>
                </c:pt>
                <c:pt idx="48">
                  <c:v>119.1</c:v>
                </c:pt>
                <c:pt idx="49">
                  <c:v>119.2</c:v>
                </c:pt>
                <c:pt idx="50">
                  <c:v>118.8</c:v>
                </c:pt>
                <c:pt idx="51">
                  <c:v>118.4</c:v>
                </c:pt>
                <c:pt idx="52">
                  <c:v>118.1</c:v>
                </c:pt>
                <c:pt idx="53">
                  <c:v>118.2</c:v>
                </c:pt>
                <c:pt idx="54">
                  <c:v>118.1</c:v>
                </c:pt>
                <c:pt idx="55">
                  <c:v>118.1</c:v>
                </c:pt>
                <c:pt idx="56">
                  <c:v>118.4</c:v>
                </c:pt>
                <c:pt idx="57">
                  <c:v>119</c:v>
                </c:pt>
                <c:pt idx="58">
                  <c:v>119.2</c:v>
                </c:pt>
                <c:pt idx="59">
                  <c:v>120.5</c:v>
                </c:pt>
                <c:pt idx="60">
                  <c:v>120.7</c:v>
                </c:pt>
                <c:pt idx="61">
                  <c:v>120.4</c:v>
                </c:pt>
                <c:pt idx="62">
                  <c:v>120.7</c:v>
                </c:pt>
                <c:pt idx="63">
                  <c:v>121</c:v>
                </c:pt>
                <c:pt idx="64">
                  <c:v>121</c:v>
                </c:pt>
                <c:pt idx="65">
                  <c:v>121.3</c:v>
                </c:pt>
                <c:pt idx="66">
                  <c:v>121.4</c:v>
                </c:pt>
                <c:pt idx="67">
                  <c:v>122.2</c:v>
                </c:pt>
                <c:pt idx="68">
                  <c:v>122.1</c:v>
                </c:pt>
                <c:pt idx="69">
                  <c:v>121.1</c:v>
                </c:pt>
                <c:pt idx="70">
                  <c:v>121.1</c:v>
                </c:pt>
                <c:pt idx="71">
                  <c:v>122</c:v>
                </c:pt>
                <c:pt idx="72">
                  <c:v>121.8</c:v>
                </c:pt>
                <c:pt idx="73">
                  <c:v>122</c:v>
                </c:pt>
                <c:pt idx="74">
                  <c:v>122</c:v>
                </c:pt>
                <c:pt idx="75">
                  <c:v>122</c:v>
                </c:pt>
                <c:pt idx="76">
                  <c:v>122.2</c:v>
                </c:pt>
                <c:pt idx="77">
                  <c:v>122.5</c:v>
                </c:pt>
                <c:pt idx="78">
                  <c:v>122.9</c:v>
                </c:pt>
                <c:pt idx="79">
                  <c:v>123.5</c:v>
                </c:pt>
                <c:pt idx="80">
                  <c:v>123.9</c:v>
                </c:pt>
                <c:pt idx="81">
                  <c:v>124.3</c:v>
                </c:pt>
                <c:pt idx="82">
                  <c:v>125.7</c:v>
                </c:pt>
                <c:pt idx="83">
                  <c:v>129.9</c:v>
                </c:pt>
                <c:pt idx="84">
                  <c:v>131.4</c:v>
                </c:pt>
                <c:pt idx="85">
                  <c:v>131.19999999999999</c:v>
                </c:pt>
                <c:pt idx="86">
                  <c:v>135.1</c:v>
                </c:pt>
                <c:pt idx="87">
                  <c:v>131.9</c:v>
                </c:pt>
                <c:pt idx="88">
                  <c:v>136.30000000000001</c:v>
                </c:pt>
                <c:pt idx="89">
                  <c:v>136.30000000000001</c:v>
                </c:pt>
                <c:pt idx="90">
                  <c:v>137.4</c:v>
                </c:pt>
                <c:pt idx="91">
                  <c:v>138.19999999999999</c:v>
                </c:pt>
                <c:pt idx="92">
                  <c:v>140.1</c:v>
                </c:pt>
                <c:pt idx="93">
                  <c:v>142.69999999999999</c:v>
                </c:pt>
                <c:pt idx="94">
                  <c:v>146.6</c:v>
                </c:pt>
                <c:pt idx="95">
                  <c:v>150.9</c:v>
                </c:pt>
                <c:pt idx="96">
                  <c:v>158.69999999999999</c:v>
                </c:pt>
                <c:pt idx="97">
                  <c:v>163.9</c:v>
                </c:pt>
                <c:pt idx="98">
                  <c:v>170.1</c:v>
                </c:pt>
                <c:pt idx="99">
                  <c:v>178.7</c:v>
                </c:pt>
                <c:pt idx="100">
                  <c:v>183.7</c:v>
                </c:pt>
                <c:pt idx="101">
                  <c:v>182.1</c:v>
                </c:pt>
                <c:pt idx="102">
                  <c:v>188</c:v>
                </c:pt>
                <c:pt idx="103">
                  <c:v>188</c:v>
                </c:pt>
                <c:pt idx="104">
                  <c:v>190.6</c:v>
                </c:pt>
                <c:pt idx="105">
                  <c:v>190.1</c:v>
                </c:pt>
                <c:pt idx="106">
                  <c:v>187.6</c:v>
                </c:pt>
                <c:pt idx="107">
                  <c:v>184.7</c:v>
                </c:pt>
                <c:pt idx="108">
                  <c:v>184.9</c:v>
                </c:pt>
                <c:pt idx="109">
                  <c:v>194.6</c:v>
                </c:pt>
                <c:pt idx="110">
                  <c:v>199.5</c:v>
                </c:pt>
                <c:pt idx="111">
                  <c:v>202.4</c:v>
                </c:pt>
                <c:pt idx="112">
                  <c:v>200.9</c:v>
                </c:pt>
                <c:pt idx="113">
                  <c:v>195.8</c:v>
                </c:pt>
                <c:pt idx="114">
                  <c:v>192.4</c:v>
                </c:pt>
                <c:pt idx="115">
                  <c:v>188.7</c:v>
                </c:pt>
                <c:pt idx="116">
                  <c:v>186.5</c:v>
                </c:pt>
                <c:pt idx="117">
                  <c:v>188.9</c:v>
                </c:pt>
                <c:pt idx="118">
                  <c:v>188.5</c:v>
                </c:pt>
                <c:pt idx="119">
                  <c:v>187.2</c:v>
                </c:pt>
                <c:pt idx="120">
                  <c:v>179.3</c:v>
                </c:pt>
                <c:pt idx="121">
                  <c:v>179.2</c:v>
                </c:pt>
                <c:pt idx="122">
                  <c:v>174.9</c:v>
                </c:pt>
                <c:pt idx="123">
                  <c:v>170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770C-45C2-AAF5-EDD358182740}"/>
            </c:ext>
          </c:extLst>
        </c:ser>
        <c:ser>
          <c:idx val="2"/>
          <c:order val="2"/>
          <c:tx>
            <c:strRef>
              <c:f>Food!$J$1</c:f>
              <c:strCache>
                <c:ptCount val="1"/>
                <c:pt idx="0">
                  <c:v>Vegetables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Food!$D$2:$D$125</c:f>
              <c:numCache>
                <c:formatCode>[$-409]mmm\-yy;@</c:formatCode>
                <c:ptCount val="124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  <c:pt idx="37">
                  <c:v>42401</c:v>
                </c:pt>
                <c:pt idx="38">
                  <c:v>42430</c:v>
                </c:pt>
                <c:pt idx="39">
                  <c:v>42461</c:v>
                </c:pt>
                <c:pt idx="40">
                  <c:v>42491</c:v>
                </c:pt>
                <c:pt idx="41">
                  <c:v>42522</c:v>
                </c:pt>
                <c:pt idx="42">
                  <c:v>42552</c:v>
                </c:pt>
                <c:pt idx="43">
                  <c:v>42583</c:v>
                </c:pt>
                <c:pt idx="44">
                  <c:v>42614</c:v>
                </c:pt>
                <c:pt idx="45">
                  <c:v>42644</c:v>
                </c:pt>
                <c:pt idx="46">
                  <c:v>42675</c:v>
                </c:pt>
                <c:pt idx="47">
                  <c:v>42705</c:v>
                </c:pt>
                <c:pt idx="48">
                  <c:v>42736</c:v>
                </c:pt>
                <c:pt idx="49">
                  <c:v>42767</c:v>
                </c:pt>
                <c:pt idx="50">
                  <c:v>42795</c:v>
                </c:pt>
                <c:pt idx="51">
                  <c:v>42826</c:v>
                </c:pt>
                <c:pt idx="52">
                  <c:v>42856</c:v>
                </c:pt>
                <c:pt idx="53">
                  <c:v>42887</c:v>
                </c:pt>
                <c:pt idx="54">
                  <c:v>42917</c:v>
                </c:pt>
                <c:pt idx="55">
                  <c:v>42948</c:v>
                </c:pt>
                <c:pt idx="56">
                  <c:v>42979</c:v>
                </c:pt>
                <c:pt idx="57">
                  <c:v>43009</c:v>
                </c:pt>
                <c:pt idx="58">
                  <c:v>43040</c:v>
                </c:pt>
                <c:pt idx="59">
                  <c:v>43070</c:v>
                </c:pt>
                <c:pt idx="60">
                  <c:v>43101</c:v>
                </c:pt>
                <c:pt idx="61">
                  <c:v>43132</c:v>
                </c:pt>
                <c:pt idx="62">
                  <c:v>43160</c:v>
                </c:pt>
                <c:pt idx="63">
                  <c:v>43191</c:v>
                </c:pt>
                <c:pt idx="64">
                  <c:v>43221</c:v>
                </c:pt>
                <c:pt idx="65">
                  <c:v>43252</c:v>
                </c:pt>
                <c:pt idx="66">
                  <c:v>43282</c:v>
                </c:pt>
                <c:pt idx="67">
                  <c:v>43313</c:v>
                </c:pt>
                <c:pt idx="68">
                  <c:v>43344</c:v>
                </c:pt>
                <c:pt idx="69">
                  <c:v>43374</c:v>
                </c:pt>
                <c:pt idx="70">
                  <c:v>43405</c:v>
                </c:pt>
                <c:pt idx="71">
                  <c:v>43435</c:v>
                </c:pt>
                <c:pt idx="72">
                  <c:v>43466</c:v>
                </c:pt>
                <c:pt idx="73">
                  <c:v>43497</c:v>
                </c:pt>
                <c:pt idx="74">
                  <c:v>43525</c:v>
                </c:pt>
                <c:pt idx="75">
                  <c:v>43586</c:v>
                </c:pt>
                <c:pt idx="76">
                  <c:v>43617</c:v>
                </c:pt>
                <c:pt idx="77">
                  <c:v>43647</c:v>
                </c:pt>
                <c:pt idx="78">
                  <c:v>43678</c:v>
                </c:pt>
                <c:pt idx="79">
                  <c:v>43709</c:v>
                </c:pt>
                <c:pt idx="80">
                  <c:v>43739</c:v>
                </c:pt>
                <c:pt idx="81">
                  <c:v>43770</c:v>
                </c:pt>
                <c:pt idx="82">
                  <c:v>43800</c:v>
                </c:pt>
                <c:pt idx="83">
                  <c:v>43831</c:v>
                </c:pt>
                <c:pt idx="84">
                  <c:v>43862</c:v>
                </c:pt>
                <c:pt idx="85">
                  <c:v>43891</c:v>
                </c:pt>
                <c:pt idx="86">
                  <c:v>43922</c:v>
                </c:pt>
                <c:pt idx="87">
                  <c:v>43952</c:v>
                </c:pt>
                <c:pt idx="88">
                  <c:v>43983</c:v>
                </c:pt>
                <c:pt idx="89">
                  <c:v>44013</c:v>
                </c:pt>
                <c:pt idx="90">
                  <c:v>44044</c:v>
                </c:pt>
                <c:pt idx="91">
                  <c:v>44075</c:v>
                </c:pt>
                <c:pt idx="92">
                  <c:v>44105</c:v>
                </c:pt>
                <c:pt idx="93">
                  <c:v>44136</c:v>
                </c:pt>
                <c:pt idx="94">
                  <c:v>44166</c:v>
                </c:pt>
                <c:pt idx="95">
                  <c:v>44197</c:v>
                </c:pt>
                <c:pt idx="96">
                  <c:v>44228</c:v>
                </c:pt>
                <c:pt idx="97">
                  <c:v>44256</c:v>
                </c:pt>
                <c:pt idx="98">
                  <c:v>44287</c:v>
                </c:pt>
                <c:pt idx="99">
                  <c:v>44317</c:v>
                </c:pt>
                <c:pt idx="100">
                  <c:v>44348</c:v>
                </c:pt>
                <c:pt idx="101">
                  <c:v>44378</c:v>
                </c:pt>
                <c:pt idx="102">
                  <c:v>44409</c:v>
                </c:pt>
                <c:pt idx="103">
                  <c:v>44440</c:v>
                </c:pt>
                <c:pt idx="104">
                  <c:v>44470</c:v>
                </c:pt>
                <c:pt idx="105">
                  <c:v>44501</c:v>
                </c:pt>
                <c:pt idx="106">
                  <c:v>44531</c:v>
                </c:pt>
                <c:pt idx="107">
                  <c:v>44562</c:v>
                </c:pt>
                <c:pt idx="108">
                  <c:v>44593</c:v>
                </c:pt>
                <c:pt idx="109">
                  <c:v>44621</c:v>
                </c:pt>
                <c:pt idx="110">
                  <c:v>44652</c:v>
                </c:pt>
                <c:pt idx="111">
                  <c:v>44682</c:v>
                </c:pt>
                <c:pt idx="112">
                  <c:v>44713</c:v>
                </c:pt>
                <c:pt idx="113">
                  <c:v>44743</c:v>
                </c:pt>
                <c:pt idx="114">
                  <c:v>44774</c:v>
                </c:pt>
                <c:pt idx="115">
                  <c:v>44805</c:v>
                </c:pt>
                <c:pt idx="116">
                  <c:v>44835</c:v>
                </c:pt>
                <c:pt idx="117">
                  <c:v>44866</c:v>
                </c:pt>
                <c:pt idx="118">
                  <c:v>44896</c:v>
                </c:pt>
                <c:pt idx="119">
                  <c:v>44927</c:v>
                </c:pt>
                <c:pt idx="120">
                  <c:v>44958</c:v>
                </c:pt>
                <c:pt idx="121">
                  <c:v>44986</c:v>
                </c:pt>
                <c:pt idx="122">
                  <c:v>45017</c:v>
                </c:pt>
                <c:pt idx="123">
                  <c:v>45047</c:v>
                </c:pt>
              </c:numCache>
            </c:numRef>
          </c:cat>
          <c:val>
            <c:numRef>
              <c:f>Food!$J$2:$J$125</c:f>
              <c:numCache>
                <c:formatCode>General</c:formatCode>
                <c:ptCount val="124"/>
                <c:pt idx="0">
                  <c:v>102.2</c:v>
                </c:pt>
                <c:pt idx="1">
                  <c:v>103.2</c:v>
                </c:pt>
                <c:pt idx="2">
                  <c:v>102.2</c:v>
                </c:pt>
                <c:pt idx="3">
                  <c:v>105.5</c:v>
                </c:pt>
                <c:pt idx="4">
                  <c:v>112.9</c:v>
                </c:pt>
                <c:pt idx="5">
                  <c:v>126.7</c:v>
                </c:pt>
                <c:pt idx="6">
                  <c:v>140</c:v>
                </c:pt>
                <c:pt idx="7">
                  <c:v>151.80000000000001</c:v>
                </c:pt>
                <c:pt idx="8">
                  <c:v>160.9</c:v>
                </c:pt>
                <c:pt idx="9">
                  <c:v>171.2</c:v>
                </c:pt>
                <c:pt idx="10">
                  <c:v>183.1</c:v>
                </c:pt>
                <c:pt idx="11">
                  <c:v>145.4</c:v>
                </c:pt>
                <c:pt idx="12">
                  <c:v>122.2</c:v>
                </c:pt>
                <c:pt idx="13">
                  <c:v>114.5</c:v>
                </c:pt>
                <c:pt idx="14">
                  <c:v>116.3</c:v>
                </c:pt>
                <c:pt idx="15">
                  <c:v>120.7</c:v>
                </c:pt>
                <c:pt idx="16">
                  <c:v>125</c:v>
                </c:pt>
                <c:pt idx="17">
                  <c:v>132.1</c:v>
                </c:pt>
                <c:pt idx="18">
                  <c:v>157.69999999999999</c:v>
                </c:pt>
                <c:pt idx="19">
                  <c:v>168.2</c:v>
                </c:pt>
                <c:pt idx="20">
                  <c:v>162.1</c:v>
                </c:pt>
                <c:pt idx="21">
                  <c:v>156.80000000000001</c:v>
                </c:pt>
                <c:pt idx="22">
                  <c:v>152.4</c:v>
                </c:pt>
                <c:pt idx="23">
                  <c:v>140.5</c:v>
                </c:pt>
                <c:pt idx="24">
                  <c:v>133</c:v>
                </c:pt>
                <c:pt idx="25">
                  <c:v>129.4</c:v>
                </c:pt>
                <c:pt idx="26">
                  <c:v>129.19999999999999</c:v>
                </c:pt>
                <c:pt idx="27">
                  <c:v>128.6</c:v>
                </c:pt>
                <c:pt idx="28">
                  <c:v>130.9</c:v>
                </c:pt>
                <c:pt idx="29">
                  <c:v>139.1</c:v>
                </c:pt>
                <c:pt idx="30">
                  <c:v>145.1</c:v>
                </c:pt>
                <c:pt idx="31">
                  <c:v>157.6</c:v>
                </c:pt>
                <c:pt idx="32">
                  <c:v>162.19999999999999</c:v>
                </c:pt>
                <c:pt idx="33">
                  <c:v>160.4</c:v>
                </c:pt>
                <c:pt idx="34">
                  <c:v>158.4</c:v>
                </c:pt>
                <c:pt idx="35">
                  <c:v>146.69999999999999</c:v>
                </c:pt>
                <c:pt idx="36">
                  <c:v>141.5</c:v>
                </c:pt>
                <c:pt idx="37">
                  <c:v>130.30000000000001</c:v>
                </c:pt>
                <c:pt idx="38">
                  <c:v>129.80000000000001</c:v>
                </c:pt>
                <c:pt idx="39">
                  <c:v>135</c:v>
                </c:pt>
                <c:pt idx="40">
                  <c:v>145.1</c:v>
                </c:pt>
                <c:pt idx="41">
                  <c:v>159.69999999999999</c:v>
                </c:pt>
                <c:pt idx="42">
                  <c:v>165.4</c:v>
                </c:pt>
                <c:pt idx="43">
                  <c:v>159.1</c:v>
                </c:pt>
                <c:pt idx="44">
                  <c:v>150.69999999999999</c:v>
                </c:pt>
                <c:pt idx="45">
                  <c:v>151.19999999999999</c:v>
                </c:pt>
                <c:pt idx="46">
                  <c:v>141.9</c:v>
                </c:pt>
                <c:pt idx="47">
                  <c:v>125.3</c:v>
                </c:pt>
                <c:pt idx="48">
                  <c:v>119.4</c:v>
                </c:pt>
                <c:pt idx="49">
                  <c:v>119.5</c:v>
                </c:pt>
                <c:pt idx="50">
                  <c:v>120.5</c:v>
                </c:pt>
                <c:pt idx="51">
                  <c:v>123.4</c:v>
                </c:pt>
                <c:pt idx="52">
                  <c:v>125.6</c:v>
                </c:pt>
                <c:pt idx="53">
                  <c:v>133.30000000000001</c:v>
                </c:pt>
                <c:pt idx="54">
                  <c:v>159.5</c:v>
                </c:pt>
                <c:pt idx="55">
                  <c:v>168.6</c:v>
                </c:pt>
                <c:pt idx="56">
                  <c:v>156.6</c:v>
                </c:pt>
                <c:pt idx="57">
                  <c:v>162.6</c:v>
                </c:pt>
                <c:pt idx="58">
                  <c:v>173.8</c:v>
                </c:pt>
                <c:pt idx="59">
                  <c:v>161.69999999999999</c:v>
                </c:pt>
                <c:pt idx="60">
                  <c:v>151.6</c:v>
                </c:pt>
                <c:pt idx="61">
                  <c:v>140.5</c:v>
                </c:pt>
                <c:pt idx="62">
                  <c:v>134.6</c:v>
                </c:pt>
                <c:pt idx="63">
                  <c:v>132.6</c:v>
                </c:pt>
                <c:pt idx="64">
                  <c:v>135.6</c:v>
                </c:pt>
                <c:pt idx="65">
                  <c:v>143.69999999999999</c:v>
                </c:pt>
                <c:pt idx="66">
                  <c:v>155.9</c:v>
                </c:pt>
                <c:pt idx="67">
                  <c:v>156.6</c:v>
                </c:pt>
                <c:pt idx="68">
                  <c:v>150</c:v>
                </c:pt>
                <c:pt idx="69">
                  <c:v>146.69999999999999</c:v>
                </c:pt>
                <c:pt idx="70">
                  <c:v>146.69999999999999</c:v>
                </c:pt>
                <c:pt idx="71">
                  <c:v>135.19999999999999</c:v>
                </c:pt>
                <c:pt idx="72">
                  <c:v>131.30000000000001</c:v>
                </c:pt>
                <c:pt idx="73">
                  <c:v>129.69999999999999</c:v>
                </c:pt>
                <c:pt idx="74">
                  <c:v>132.6</c:v>
                </c:pt>
                <c:pt idx="75">
                  <c:v>143</c:v>
                </c:pt>
                <c:pt idx="76">
                  <c:v>150.5</c:v>
                </c:pt>
                <c:pt idx="77">
                  <c:v>160.30000000000001</c:v>
                </c:pt>
                <c:pt idx="78">
                  <c:v>167.4</c:v>
                </c:pt>
                <c:pt idx="79">
                  <c:v>173.2</c:v>
                </c:pt>
                <c:pt idx="80">
                  <c:v>188.4</c:v>
                </c:pt>
                <c:pt idx="81">
                  <c:v>199.6</c:v>
                </c:pt>
                <c:pt idx="82">
                  <c:v>217</c:v>
                </c:pt>
                <c:pt idx="83">
                  <c:v>197</c:v>
                </c:pt>
                <c:pt idx="84">
                  <c:v>170.7</c:v>
                </c:pt>
                <c:pt idx="85">
                  <c:v>157.30000000000001</c:v>
                </c:pt>
                <c:pt idx="86">
                  <c:v>168.6</c:v>
                </c:pt>
                <c:pt idx="87">
                  <c:v>173.4</c:v>
                </c:pt>
                <c:pt idx="88">
                  <c:v>156.5</c:v>
                </c:pt>
                <c:pt idx="89">
                  <c:v>156.5</c:v>
                </c:pt>
                <c:pt idx="90">
                  <c:v>178.1</c:v>
                </c:pt>
                <c:pt idx="91">
                  <c:v>186.7</c:v>
                </c:pt>
                <c:pt idx="92">
                  <c:v>209.2</c:v>
                </c:pt>
                <c:pt idx="93">
                  <c:v>230</c:v>
                </c:pt>
                <c:pt idx="94">
                  <c:v>230.5</c:v>
                </c:pt>
                <c:pt idx="95">
                  <c:v>194.2</c:v>
                </c:pt>
                <c:pt idx="96">
                  <c:v>160</c:v>
                </c:pt>
                <c:pt idx="97">
                  <c:v>149.5</c:v>
                </c:pt>
                <c:pt idx="98">
                  <c:v>144.1</c:v>
                </c:pt>
                <c:pt idx="99">
                  <c:v>147.9</c:v>
                </c:pt>
                <c:pt idx="100">
                  <c:v>155.4</c:v>
                </c:pt>
                <c:pt idx="101">
                  <c:v>164.2</c:v>
                </c:pt>
                <c:pt idx="102">
                  <c:v>162.19999999999999</c:v>
                </c:pt>
                <c:pt idx="103">
                  <c:v>162.30000000000001</c:v>
                </c:pt>
                <c:pt idx="104">
                  <c:v>185.3</c:v>
                </c:pt>
                <c:pt idx="105">
                  <c:v>199.2</c:v>
                </c:pt>
                <c:pt idx="106">
                  <c:v>188.3</c:v>
                </c:pt>
                <c:pt idx="107">
                  <c:v>174.3</c:v>
                </c:pt>
                <c:pt idx="108">
                  <c:v>169.7</c:v>
                </c:pt>
                <c:pt idx="109">
                  <c:v>166.9</c:v>
                </c:pt>
                <c:pt idx="110">
                  <c:v>166.2</c:v>
                </c:pt>
                <c:pt idx="111">
                  <c:v>174.9</c:v>
                </c:pt>
                <c:pt idx="112">
                  <c:v>182.3</c:v>
                </c:pt>
                <c:pt idx="113">
                  <c:v>182.1</c:v>
                </c:pt>
                <c:pt idx="114">
                  <c:v>186.7</c:v>
                </c:pt>
                <c:pt idx="115">
                  <c:v>191.8</c:v>
                </c:pt>
                <c:pt idx="116">
                  <c:v>199.7</c:v>
                </c:pt>
                <c:pt idx="117">
                  <c:v>183.1</c:v>
                </c:pt>
                <c:pt idx="118">
                  <c:v>159.9</c:v>
                </c:pt>
                <c:pt idx="119">
                  <c:v>153.9</c:v>
                </c:pt>
                <c:pt idx="120">
                  <c:v>152.69999999999999</c:v>
                </c:pt>
                <c:pt idx="121">
                  <c:v>152.80000000000001</c:v>
                </c:pt>
                <c:pt idx="122">
                  <c:v>155.4</c:v>
                </c:pt>
                <c:pt idx="123">
                  <c:v>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0C-45C2-AAF5-EDD358182740}"/>
            </c:ext>
          </c:extLst>
        </c:ser>
        <c:ser>
          <c:idx val="3"/>
          <c:order val="3"/>
          <c:tx>
            <c:strRef>
              <c:f>Food!$M$1</c:f>
              <c:strCache>
                <c:ptCount val="1"/>
                <c:pt idx="0">
                  <c:v>Food and beverages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Food!$D$2:$D$125</c:f>
              <c:numCache>
                <c:formatCode>[$-409]mmm\-yy;@</c:formatCode>
                <c:ptCount val="124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  <c:pt idx="37">
                  <c:v>42401</c:v>
                </c:pt>
                <c:pt idx="38">
                  <c:v>42430</c:v>
                </c:pt>
                <c:pt idx="39">
                  <c:v>42461</c:v>
                </c:pt>
                <c:pt idx="40">
                  <c:v>42491</c:v>
                </c:pt>
                <c:pt idx="41">
                  <c:v>42522</c:v>
                </c:pt>
                <c:pt idx="42">
                  <c:v>42552</c:v>
                </c:pt>
                <c:pt idx="43">
                  <c:v>42583</c:v>
                </c:pt>
                <c:pt idx="44">
                  <c:v>42614</c:v>
                </c:pt>
                <c:pt idx="45">
                  <c:v>42644</c:v>
                </c:pt>
                <c:pt idx="46">
                  <c:v>42675</c:v>
                </c:pt>
                <c:pt idx="47">
                  <c:v>42705</c:v>
                </c:pt>
                <c:pt idx="48">
                  <c:v>42736</c:v>
                </c:pt>
                <c:pt idx="49">
                  <c:v>42767</c:v>
                </c:pt>
                <c:pt idx="50">
                  <c:v>42795</c:v>
                </c:pt>
                <c:pt idx="51">
                  <c:v>42826</c:v>
                </c:pt>
                <c:pt idx="52">
                  <c:v>42856</c:v>
                </c:pt>
                <c:pt idx="53">
                  <c:v>42887</c:v>
                </c:pt>
                <c:pt idx="54">
                  <c:v>42917</c:v>
                </c:pt>
                <c:pt idx="55">
                  <c:v>42948</c:v>
                </c:pt>
                <c:pt idx="56">
                  <c:v>42979</c:v>
                </c:pt>
                <c:pt idx="57">
                  <c:v>43009</c:v>
                </c:pt>
                <c:pt idx="58">
                  <c:v>43040</c:v>
                </c:pt>
                <c:pt idx="59">
                  <c:v>43070</c:v>
                </c:pt>
                <c:pt idx="60">
                  <c:v>43101</c:v>
                </c:pt>
                <c:pt idx="61">
                  <c:v>43132</c:v>
                </c:pt>
                <c:pt idx="62">
                  <c:v>43160</c:v>
                </c:pt>
                <c:pt idx="63">
                  <c:v>43191</c:v>
                </c:pt>
                <c:pt idx="64">
                  <c:v>43221</c:v>
                </c:pt>
                <c:pt idx="65">
                  <c:v>43252</c:v>
                </c:pt>
                <c:pt idx="66">
                  <c:v>43282</c:v>
                </c:pt>
                <c:pt idx="67">
                  <c:v>43313</c:v>
                </c:pt>
                <c:pt idx="68">
                  <c:v>43344</c:v>
                </c:pt>
                <c:pt idx="69">
                  <c:v>43374</c:v>
                </c:pt>
                <c:pt idx="70">
                  <c:v>43405</c:v>
                </c:pt>
                <c:pt idx="71">
                  <c:v>43435</c:v>
                </c:pt>
                <c:pt idx="72">
                  <c:v>43466</c:v>
                </c:pt>
                <c:pt idx="73">
                  <c:v>43497</c:v>
                </c:pt>
                <c:pt idx="74">
                  <c:v>43525</c:v>
                </c:pt>
                <c:pt idx="75">
                  <c:v>43586</c:v>
                </c:pt>
                <c:pt idx="76">
                  <c:v>43617</c:v>
                </c:pt>
                <c:pt idx="77">
                  <c:v>43647</c:v>
                </c:pt>
                <c:pt idx="78">
                  <c:v>43678</c:v>
                </c:pt>
                <c:pt idx="79">
                  <c:v>43709</c:v>
                </c:pt>
                <c:pt idx="80">
                  <c:v>43739</c:v>
                </c:pt>
                <c:pt idx="81">
                  <c:v>43770</c:v>
                </c:pt>
                <c:pt idx="82">
                  <c:v>43800</c:v>
                </c:pt>
                <c:pt idx="83">
                  <c:v>43831</c:v>
                </c:pt>
                <c:pt idx="84">
                  <c:v>43862</c:v>
                </c:pt>
                <c:pt idx="85">
                  <c:v>43891</c:v>
                </c:pt>
                <c:pt idx="86">
                  <c:v>43922</c:v>
                </c:pt>
                <c:pt idx="87">
                  <c:v>43952</c:v>
                </c:pt>
                <c:pt idx="88">
                  <c:v>43983</c:v>
                </c:pt>
                <c:pt idx="89">
                  <c:v>44013</c:v>
                </c:pt>
                <c:pt idx="90">
                  <c:v>44044</c:v>
                </c:pt>
                <c:pt idx="91">
                  <c:v>44075</c:v>
                </c:pt>
                <c:pt idx="92">
                  <c:v>44105</c:v>
                </c:pt>
                <c:pt idx="93">
                  <c:v>44136</c:v>
                </c:pt>
                <c:pt idx="94">
                  <c:v>44166</c:v>
                </c:pt>
                <c:pt idx="95">
                  <c:v>44197</c:v>
                </c:pt>
                <c:pt idx="96">
                  <c:v>44228</c:v>
                </c:pt>
                <c:pt idx="97">
                  <c:v>44256</c:v>
                </c:pt>
                <c:pt idx="98">
                  <c:v>44287</c:v>
                </c:pt>
                <c:pt idx="99">
                  <c:v>44317</c:v>
                </c:pt>
                <c:pt idx="100">
                  <c:v>44348</c:v>
                </c:pt>
                <c:pt idx="101">
                  <c:v>44378</c:v>
                </c:pt>
                <c:pt idx="102">
                  <c:v>44409</c:v>
                </c:pt>
                <c:pt idx="103">
                  <c:v>44440</c:v>
                </c:pt>
                <c:pt idx="104">
                  <c:v>44470</c:v>
                </c:pt>
                <c:pt idx="105">
                  <c:v>44501</c:v>
                </c:pt>
                <c:pt idx="106">
                  <c:v>44531</c:v>
                </c:pt>
                <c:pt idx="107">
                  <c:v>44562</c:v>
                </c:pt>
                <c:pt idx="108">
                  <c:v>44593</c:v>
                </c:pt>
                <c:pt idx="109">
                  <c:v>44621</c:v>
                </c:pt>
                <c:pt idx="110">
                  <c:v>44652</c:v>
                </c:pt>
                <c:pt idx="111">
                  <c:v>44682</c:v>
                </c:pt>
                <c:pt idx="112">
                  <c:v>44713</c:v>
                </c:pt>
                <c:pt idx="113">
                  <c:v>44743</c:v>
                </c:pt>
                <c:pt idx="114">
                  <c:v>44774</c:v>
                </c:pt>
                <c:pt idx="115">
                  <c:v>44805</c:v>
                </c:pt>
                <c:pt idx="116">
                  <c:v>44835</c:v>
                </c:pt>
                <c:pt idx="117">
                  <c:v>44866</c:v>
                </c:pt>
                <c:pt idx="118">
                  <c:v>44896</c:v>
                </c:pt>
                <c:pt idx="119">
                  <c:v>44927</c:v>
                </c:pt>
                <c:pt idx="120">
                  <c:v>44958</c:v>
                </c:pt>
                <c:pt idx="121">
                  <c:v>44986</c:v>
                </c:pt>
                <c:pt idx="122">
                  <c:v>45017</c:v>
                </c:pt>
                <c:pt idx="123">
                  <c:v>45047</c:v>
                </c:pt>
              </c:numCache>
            </c:numRef>
          </c:cat>
          <c:val>
            <c:numRef>
              <c:f>Food!$M$2:$M$125</c:f>
              <c:numCache>
                <c:formatCode>General</c:formatCode>
                <c:ptCount val="124"/>
                <c:pt idx="0">
                  <c:v>105.6</c:v>
                </c:pt>
                <c:pt idx="1">
                  <c:v>106.6</c:v>
                </c:pt>
                <c:pt idx="2">
                  <c:v>106.9</c:v>
                </c:pt>
                <c:pt idx="3">
                  <c:v>107.7</c:v>
                </c:pt>
                <c:pt idx="4">
                  <c:v>109.2</c:v>
                </c:pt>
                <c:pt idx="5">
                  <c:v>112.2</c:v>
                </c:pt>
                <c:pt idx="6">
                  <c:v>114.7</c:v>
                </c:pt>
                <c:pt idx="7">
                  <c:v>116.6</c:v>
                </c:pt>
                <c:pt idx="8">
                  <c:v>118.3</c:v>
                </c:pt>
                <c:pt idx="9">
                  <c:v>120.2</c:v>
                </c:pt>
                <c:pt idx="10">
                  <c:v>122.6</c:v>
                </c:pt>
                <c:pt idx="11">
                  <c:v>118.4</c:v>
                </c:pt>
                <c:pt idx="12">
                  <c:v>115.8</c:v>
                </c:pt>
                <c:pt idx="13">
                  <c:v>115.3</c:v>
                </c:pt>
                <c:pt idx="14">
                  <c:v>116.1</c:v>
                </c:pt>
                <c:pt idx="15">
                  <c:v>117.6</c:v>
                </c:pt>
                <c:pt idx="16">
                  <c:v>118.9</c:v>
                </c:pt>
                <c:pt idx="17">
                  <c:v>120.4</c:v>
                </c:pt>
                <c:pt idx="18">
                  <c:v>124.7</c:v>
                </c:pt>
                <c:pt idx="19">
                  <c:v>126.6</c:v>
                </c:pt>
                <c:pt idx="20">
                  <c:v>125.8</c:v>
                </c:pt>
                <c:pt idx="21">
                  <c:v>125.4</c:v>
                </c:pt>
                <c:pt idx="22">
                  <c:v>125.1</c:v>
                </c:pt>
                <c:pt idx="23">
                  <c:v>123.6</c:v>
                </c:pt>
                <c:pt idx="24">
                  <c:v>123.1</c:v>
                </c:pt>
                <c:pt idx="25">
                  <c:v>123.1</c:v>
                </c:pt>
                <c:pt idx="26">
                  <c:v>123.4</c:v>
                </c:pt>
                <c:pt idx="27">
                  <c:v>124</c:v>
                </c:pt>
                <c:pt idx="28">
                  <c:v>125</c:v>
                </c:pt>
                <c:pt idx="29">
                  <c:v>127.3</c:v>
                </c:pt>
                <c:pt idx="30">
                  <c:v>128.19999999999999</c:v>
                </c:pt>
                <c:pt idx="31">
                  <c:v>130.30000000000001</c:v>
                </c:pt>
                <c:pt idx="32">
                  <c:v>131.19999999999999</c:v>
                </c:pt>
                <c:pt idx="33">
                  <c:v>132.1</c:v>
                </c:pt>
                <c:pt idx="34">
                  <c:v>132.69999999999999</c:v>
                </c:pt>
                <c:pt idx="35">
                  <c:v>131.4</c:v>
                </c:pt>
                <c:pt idx="36">
                  <c:v>131.30000000000001</c:v>
                </c:pt>
                <c:pt idx="37">
                  <c:v>129.9</c:v>
                </c:pt>
                <c:pt idx="38">
                  <c:v>129.80000000000001</c:v>
                </c:pt>
                <c:pt idx="39">
                  <c:v>131.80000000000001</c:v>
                </c:pt>
                <c:pt idx="40">
                  <c:v>134</c:v>
                </c:pt>
                <c:pt idx="41">
                  <c:v>136.80000000000001</c:v>
                </c:pt>
                <c:pt idx="42">
                  <c:v>138.4</c:v>
                </c:pt>
                <c:pt idx="43">
                  <c:v>137.9</c:v>
                </c:pt>
                <c:pt idx="44">
                  <c:v>136.6</c:v>
                </c:pt>
                <c:pt idx="45">
                  <c:v>137</c:v>
                </c:pt>
                <c:pt idx="46">
                  <c:v>136.1</c:v>
                </c:pt>
                <c:pt idx="47">
                  <c:v>134</c:v>
                </c:pt>
                <c:pt idx="48">
                  <c:v>133.1</c:v>
                </c:pt>
                <c:pt idx="49">
                  <c:v>133</c:v>
                </c:pt>
                <c:pt idx="50">
                  <c:v>133.1</c:v>
                </c:pt>
                <c:pt idx="51">
                  <c:v>133.5</c:v>
                </c:pt>
                <c:pt idx="52">
                  <c:v>133.69999999999999</c:v>
                </c:pt>
                <c:pt idx="53">
                  <c:v>135.19999999999999</c:v>
                </c:pt>
                <c:pt idx="54">
                  <c:v>139</c:v>
                </c:pt>
                <c:pt idx="55">
                  <c:v>140.6</c:v>
                </c:pt>
                <c:pt idx="56">
                  <c:v>139</c:v>
                </c:pt>
                <c:pt idx="57">
                  <c:v>140.1</c:v>
                </c:pt>
                <c:pt idx="58">
                  <c:v>142.1</c:v>
                </c:pt>
                <c:pt idx="59">
                  <c:v>140.5</c:v>
                </c:pt>
                <c:pt idx="60">
                  <c:v>139.19999999999999</c:v>
                </c:pt>
                <c:pt idx="61">
                  <c:v>137.6</c:v>
                </c:pt>
                <c:pt idx="62">
                  <c:v>137.19999999999999</c:v>
                </c:pt>
                <c:pt idx="63">
                  <c:v>137.5</c:v>
                </c:pt>
                <c:pt idx="64">
                  <c:v>138.1</c:v>
                </c:pt>
                <c:pt idx="65">
                  <c:v>139.4</c:v>
                </c:pt>
                <c:pt idx="66">
                  <c:v>141.4</c:v>
                </c:pt>
                <c:pt idx="67">
                  <c:v>141.69999999999999</c:v>
                </c:pt>
                <c:pt idx="68">
                  <c:v>140.4</c:v>
                </c:pt>
                <c:pt idx="69">
                  <c:v>139.69999999999999</c:v>
                </c:pt>
                <c:pt idx="70">
                  <c:v>139.69999999999999</c:v>
                </c:pt>
                <c:pt idx="71">
                  <c:v>138.19999999999999</c:v>
                </c:pt>
                <c:pt idx="72">
                  <c:v>137.4</c:v>
                </c:pt>
                <c:pt idx="73">
                  <c:v>137.5</c:v>
                </c:pt>
                <c:pt idx="74">
                  <c:v>138.1</c:v>
                </c:pt>
                <c:pt idx="75">
                  <c:v>140.9</c:v>
                </c:pt>
                <c:pt idx="76">
                  <c:v>142.69999999999999</c:v>
                </c:pt>
                <c:pt idx="77">
                  <c:v>144.69999999999999</c:v>
                </c:pt>
                <c:pt idx="78">
                  <c:v>145.9</c:v>
                </c:pt>
                <c:pt idx="79">
                  <c:v>147</c:v>
                </c:pt>
                <c:pt idx="80">
                  <c:v>149.6</c:v>
                </c:pt>
                <c:pt idx="81">
                  <c:v>151.9</c:v>
                </c:pt>
                <c:pt idx="82">
                  <c:v>155</c:v>
                </c:pt>
                <c:pt idx="83">
                  <c:v>153.5</c:v>
                </c:pt>
                <c:pt idx="84">
                  <c:v>150.5</c:v>
                </c:pt>
                <c:pt idx="85">
                  <c:v>148.9</c:v>
                </c:pt>
                <c:pt idx="86">
                  <c:v>151.4</c:v>
                </c:pt>
                <c:pt idx="87">
                  <c:v>151.1</c:v>
                </c:pt>
                <c:pt idx="88">
                  <c:v>154</c:v>
                </c:pt>
                <c:pt idx="89">
                  <c:v>154</c:v>
                </c:pt>
                <c:pt idx="90">
                  <c:v>157</c:v>
                </c:pt>
                <c:pt idx="91">
                  <c:v>158</c:v>
                </c:pt>
                <c:pt idx="92">
                  <c:v>161.4</c:v>
                </c:pt>
                <c:pt idx="93">
                  <c:v>164.7</c:v>
                </c:pt>
                <c:pt idx="94">
                  <c:v>165.4</c:v>
                </c:pt>
                <c:pt idx="95">
                  <c:v>161</c:v>
                </c:pt>
                <c:pt idx="96">
                  <c:v>156.9</c:v>
                </c:pt>
                <c:pt idx="97">
                  <c:v>156.69999999999999</c:v>
                </c:pt>
                <c:pt idx="98">
                  <c:v>158</c:v>
                </c:pt>
                <c:pt idx="99">
                  <c:v>160.69999999999999</c:v>
                </c:pt>
                <c:pt idx="100">
                  <c:v>162.6</c:v>
                </c:pt>
                <c:pt idx="101">
                  <c:v>164</c:v>
                </c:pt>
                <c:pt idx="102">
                  <c:v>164</c:v>
                </c:pt>
                <c:pt idx="103">
                  <c:v>164</c:v>
                </c:pt>
                <c:pt idx="104">
                  <c:v>167.7</c:v>
                </c:pt>
                <c:pt idx="105">
                  <c:v>169.7</c:v>
                </c:pt>
                <c:pt idx="106">
                  <c:v>168.2</c:v>
                </c:pt>
                <c:pt idx="107">
                  <c:v>166.4</c:v>
                </c:pt>
                <c:pt idx="108">
                  <c:v>166.2</c:v>
                </c:pt>
                <c:pt idx="109">
                  <c:v>168.4</c:v>
                </c:pt>
                <c:pt idx="110">
                  <c:v>170.8</c:v>
                </c:pt>
                <c:pt idx="111">
                  <c:v>173.3</c:v>
                </c:pt>
                <c:pt idx="112">
                  <c:v>174.9</c:v>
                </c:pt>
                <c:pt idx="113">
                  <c:v>175</c:v>
                </c:pt>
                <c:pt idx="114">
                  <c:v>176.3</c:v>
                </c:pt>
                <c:pt idx="115">
                  <c:v>177.8</c:v>
                </c:pt>
                <c:pt idx="116">
                  <c:v>179.6</c:v>
                </c:pt>
                <c:pt idx="117">
                  <c:v>178.3</c:v>
                </c:pt>
                <c:pt idx="118">
                  <c:v>175.9</c:v>
                </c:pt>
                <c:pt idx="119">
                  <c:v>176.7</c:v>
                </c:pt>
                <c:pt idx="120">
                  <c:v>177</c:v>
                </c:pt>
                <c:pt idx="121">
                  <c:v>177</c:v>
                </c:pt>
                <c:pt idx="122">
                  <c:v>177.9</c:v>
                </c:pt>
                <c:pt idx="123">
                  <c:v>179.1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70C-45C2-AAF5-EDD358182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3875711"/>
        <c:axId val="57388099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Food!$E$1</c15:sqref>
                        </c15:formulaRef>
                      </c:ext>
                    </c:extLst>
                    <c:strCache>
                      <c:ptCount val="1"/>
                      <c:pt idx="0">
                        <c:v>Meat and fish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Food!$D$2:$D$125</c15:sqref>
                        </c15:formulaRef>
                      </c:ext>
                    </c:extLst>
                    <c:numCache>
                      <c:formatCode>[$-409]mmm\-yy;@</c:formatCode>
                      <c:ptCount val="124"/>
                      <c:pt idx="0">
                        <c:v>41275</c:v>
                      </c:pt>
                      <c:pt idx="1">
                        <c:v>41306</c:v>
                      </c:pt>
                      <c:pt idx="2">
                        <c:v>41334</c:v>
                      </c:pt>
                      <c:pt idx="3">
                        <c:v>41365</c:v>
                      </c:pt>
                      <c:pt idx="4">
                        <c:v>41395</c:v>
                      </c:pt>
                      <c:pt idx="5">
                        <c:v>41426</c:v>
                      </c:pt>
                      <c:pt idx="6">
                        <c:v>41456</c:v>
                      </c:pt>
                      <c:pt idx="7">
                        <c:v>41487</c:v>
                      </c:pt>
                      <c:pt idx="8">
                        <c:v>41518</c:v>
                      </c:pt>
                      <c:pt idx="9">
                        <c:v>41548</c:v>
                      </c:pt>
                      <c:pt idx="10">
                        <c:v>41579</c:v>
                      </c:pt>
                      <c:pt idx="11">
                        <c:v>41609</c:v>
                      </c:pt>
                      <c:pt idx="12">
                        <c:v>41640</c:v>
                      </c:pt>
                      <c:pt idx="13">
                        <c:v>41671</c:v>
                      </c:pt>
                      <c:pt idx="14">
                        <c:v>41699</c:v>
                      </c:pt>
                      <c:pt idx="15">
                        <c:v>41730</c:v>
                      </c:pt>
                      <c:pt idx="16">
                        <c:v>41760</c:v>
                      </c:pt>
                      <c:pt idx="17">
                        <c:v>41791</c:v>
                      </c:pt>
                      <c:pt idx="18">
                        <c:v>41821</c:v>
                      </c:pt>
                      <c:pt idx="19">
                        <c:v>41852</c:v>
                      </c:pt>
                      <c:pt idx="20">
                        <c:v>41883</c:v>
                      </c:pt>
                      <c:pt idx="21">
                        <c:v>41913</c:v>
                      </c:pt>
                      <c:pt idx="22">
                        <c:v>41944</c:v>
                      </c:pt>
                      <c:pt idx="23">
                        <c:v>41974</c:v>
                      </c:pt>
                      <c:pt idx="24">
                        <c:v>42005</c:v>
                      </c:pt>
                      <c:pt idx="25">
                        <c:v>42036</c:v>
                      </c:pt>
                      <c:pt idx="26">
                        <c:v>42064</c:v>
                      </c:pt>
                      <c:pt idx="27">
                        <c:v>42095</c:v>
                      </c:pt>
                      <c:pt idx="28">
                        <c:v>42125</c:v>
                      </c:pt>
                      <c:pt idx="29">
                        <c:v>42156</c:v>
                      </c:pt>
                      <c:pt idx="30">
                        <c:v>42186</c:v>
                      </c:pt>
                      <c:pt idx="31">
                        <c:v>42217</c:v>
                      </c:pt>
                      <c:pt idx="32">
                        <c:v>42248</c:v>
                      </c:pt>
                      <c:pt idx="33">
                        <c:v>42278</c:v>
                      </c:pt>
                      <c:pt idx="34">
                        <c:v>42309</c:v>
                      </c:pt>
                      <c:pt idx="35">
                        <c:v>42339</c:v>
                      </c:pt>
                      <c:pt idx="36">
                        <c:v>42370</c:v>
                      </c:pt>
                      <c:pt idx="37">
                        <c:v>42401</c:v>
                      </c:pt>
                      <c:pt idx="38">
                        <c:v>42430</c:v>
                      </c:pt>
                      <c:pt idx="39">
                        <c:v>42461</c:v>
                      </c:pt>
                      <c:pt idx="40">
                        <c:v>42491</c:v>
                      </c:pt>
                      <c:pt idx="41">
                        <c:v>42522</c:v>
                      </c:pt>
                      <c:pt idx="42">
                        <c:v>42552</c:v>
                      </c:pt>
                      <c:pt idx="43">
                        <c:v>42583</c:v>
                      </c:pt>
                      <c:pt idx="44">
                        <c:v>42614</c:v>
                      </c:pt>
                      <c:pt idx="45">
                        <c:v>42644</c:v>
                      </c:pt>
                      <c:pt idx="46">
                        <c:v>42675</c:v>
                      </c:pt>
                      <c:pt idx="47">
                        <c:v>42705</c:v>
                      </c:pt>
                      <c:pt idx="48">
                        <c:v>42736</c:v>
                      </c:pt>
                      <c:pt idx="49">
                        <c:v>42767</c:v>
                      </c:pt>
                      <c:pt idx="50">
                        <c:v>42795</c:v>
                      </c:pt>
                      <c:pt idx="51">
                        <c:v>42826</c:v>
                      </c:pt>
                      <c:pt idx="52">
                        <c:v>42856</c:v>
                      </c:pt>
                      <c:pt idx="53">
                        <c:v>42887</c:v>
                      </c:pt>
                      <c:pt idx="54">
                        <c:v>42917</c:v>
                      </c:pt>
                      <c:pt idx="55">
                        <c:v>42948</c:v>
                      </c:pt>
                      <c:pt idx="56">
                        <c:v>42979</c:v>
                      </c:pt>
                      <c:pt idx="57">
                        <c:v>43009</c:v>
                      </c:pt>
                      <c:pt idx="58">
                        <c:v>43040</c:v>
                      </c:pt>
                      <c:pt idx="59">
                        <c:v>43070</c:v>
                      </c:pt>
                      <c:pt idx="60">
                        <c:v>43101</c:v>
                      </c:pt>
                      <c:pt idx="61">
                        <c:v>43132</c:v>
                      </c:pt>
                      <c:pt idx="62">
                        <c:v>43160</c:v>
                      </c:pt>
                      <c:pt idx="63">
                        <c:v>43191</c:v>
                      </c:pt>
                      <c:pt idx="64">
                        <c:v>43221</c:v>
                      </c:pt>
                      <c:pt idx="65">
                        <c:v>43252</c:v>
                      </c:pt>
                      <c:pt idx="66">
                        <c:v>43282</c:v>
                      </c:pt>
                      <c:pt idx="67">
                        <c:v>43313</c:v>
                      </c:pt>
                      <c:pt idx="68">
                        <c:v>43344</c:v>
                      </c:pt>
                      <c:pt idx="69">
                        <c:v>43374</c:v>
                      </c:pt>
                      <c:pt idx="70">
                        <c:v>43405</c:v>
                      </c:pt>
                      <c:pt idx="71">
                        <c:v>43435</c:v>
                      </c:pt>
                      <c:pt idx="72">
                        <c:v>43466</c:v>
                      </c:pt>
                      <c:pt idx="73">
                        <c:v>43497</c:v>
                      </c:pt>
                      <c:pt idx="74">
                        <c:v>43525</c:v>
                      </c:pt>
                      <c:pt idx="75">
                        <c:v>43586</c:v>
                      </c:pt>
                      <c:pt idx="76">
                        <c:v>43617</c:v>
                      </c:pt>
                      <c:pt idx="77">
                        <c:v>43647</c:v>
                      </c:pt>
                      <c:pt idx="78">
                        <c:v>43678</c:v>
                      </c:pt>
                      <c:pt idx="79">
                        <c:v>43709</c:v>
                      </c:pt>
                      <c:pt idx="80">
                        <c:v>43739</c:v>
                      </c:pt>
                      <c:pt idx="81">
                        <c:v>43770</c:v>
                      </c:pt>
                      <c:pt idx="82">
                        <c:v>43800</c:v>
                      </c:pt>
                      <c:pt idx="83">
                        <c:v>43831</c:v>
                      </c:pt>
                      <c:pt idx="84">
                        <c:v>43862</c:v>
                      </c:pt>
                      <c:pt idx="85">
                        <c:v>43891</c:v>
                      </c:pt>
                      <c:pt idx="86">
                        <c:v>43922</c:v>
                      </c:pt>
                      <c:pt idx="87">
                        <c:v>43952</c:v>
                      </c:pt>
                      <c:pt idx="88">
                        <c:v>43983</c:v>
                      </c:pt>
                      <c:pt idx="89">
                        <c:v>44013</c:v>
                      </c:pt>
                      <c:pt idx="90">
                        <c:v>44044</c:v>
                      </c:pt>
                      <c:pt idx="91">
                        <c:v>44075</c:v>
                      </c:pt>
                      <c:pt idx="92">
                        <c:v>44105</c:v>
                      </c:pt>
                      <c:pt idx="93">
                        <c:v>44136</c:v>
                      </c:pt>
                      <c:pt idx="94">
                        <c:v>44166</c:v>
                      </c:pt>
                      <c:pt idx="95">
                        <c:v>44197</c:v>
                      </c:pt>
                      <c:pt idx="96">
                        <c:v>44228</c:v>
                      </c:pt>
                      <c:pt idx="97">
                        <c:v>44256</c:v>
                      </c:pt>
                      <c:pt idx="98">
                        <c:v>44287</c:v>
                      </c:pt>
                      <c:pt idx="99">
                        <c:v>44317</c:v>
                      </c:pt>
                      <c:pt idx="100">
                        <c:v>44348</c:v>
                      </c:pt>
                      <c:pt idx="101">
                        <c:v>44378</c:v>
                      </c:pt>
                      <c:pt idx="102">
                        <c:v>44409</c:v>
                      </c:pt>
                      <c:pt idx="103">
                        <c:v>44440</c:v>
                      </c:pt>
                      <c:pt idx="104">
                        <c:v>44470</c:v>
                      </c:pt>
                      <c:pt idx="105">
                        <c:v>44501</c:v>
                      </c:pt>
                      <c:pt idx="106">
                        <c:v>44531</c:v>
                      </c:pt>
                      <c:pt idx="107">
                        <c:v>44562</c:v>
                      </c:pt>
                      <c:pt idx="108">
                        <c:v>44593</c:v>
                      </c:pt>
                      <c:pt idx="109">
                        <c:v>44621</c:v>
                      </c:pt>
                      <c:pt idx="110">
                        <c:v>44652</c:v>
                      </c:pt>
                      <c:pt idx="111">
                        <c:v>44682</c:v>
                      </c:pt>
                      <c:pt idx="112">
                        <c:v>44713</c:v>
                      </c:pt>
                      <c:pt idx="113">
                        <c:v>44743</c:v>
                      </c:pt>
                      <c:pt idx="114">
                        <c:v>44774</c:v>
                      </c:pt>
                      <c:pt idx="115">
                        <c:v>44805</c:v>
                      </c:pt>
                      <c:pt idx="116">
                        <c:v>44835</c:v>
                      </c:pt>
                      <c:pt idx="117">
                        <c:v>44866</c:v>
                      </c:pt>
                      <c:pt idx="118">
                        <c:v>44896</c:v>
                      </c:pt>
                      <c:pt idx="119">
                        <c:v>44927</c:v>
                      </c:pt>
                      <c:pt idx="120">
                        <c:v>44958</c:v>
                      </c:pt>
                      <c:pt idx="121">
                        <c:v>44986</c:v>
                      </c:pt>
                      <c:pt idx="122">
                        <c:v>45017</c:v>
                      </c:pt>
                      <c:pt idx="123">
                        <c:v>45047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Food!$E$2:$E$125</c15:sqref>
                        </c15:formulaRef>
                      </c:ext>
                    </c:extLst>
                    <c:numCache>
                      <c:formatCode>General</c:formatCode>
                      <c:ptCount val="124"/>
                      <c:pt idx="0">
                        <c:v>107.3</c:v>
                      </c:pt>
                      <c:pt idx="1">
                        <c:v>110.2</c:v>
                      </c:pt>
                      <c:pt idx="2">
                        <c:v>109.7</c:v>
                      </c:pt>
                      <c:pt idx="3">
                        <c:v>110.9</c:v>
                      </c:pt>
                      <c:pt idx="4">
                        <c:v>111.3</c:v>
                      </c:pt>
                      <c:pt idx="5">
                        <c:v>114.9</c:v>
                      </c:pt>
                      <c:pt idx="6">
                        <c:v>116.4</c:v>
                      </c:pt>
                      <c:pt idx="7">
                        <c:v>117.2</c:v>
                      </c:pt>
                      <c:pt idx="8">
                        <c:v>116.9</c:v>
                      </c:pt>
                      <c:pt idx="9">
                        <c:v>116.3</c:v>
                      </c:pt>
                      <c:pt idx="10">
                        <c:v>115.4</c:v>
                      </c:pt>
                      <c:pt idx="11">
                        <c:v>116.7</c:v>
                      </c:pt>
                      <c:pt idx="12">
                        <c:v>118.8</c:v>
                      </c:pt>
                      <c:pt idx="13">
                        <c:v>119.2</c:v>
                      </c:pt>
                      <c:pt idx="14">
                        <c:v>119.3</c:v>
                      </c:pt>
                      <c:pt idx="15">
                        <c:v>119.9</c:v>
                      </c:pt>
                      <c:pt idx="16">
                        <c:v>121.6</c:v>
                      </c:pt>
                      <c:pt idx="17">
                        <c:v>123.1</c:v>
                      </c:pt>
                      <c:pt idx="18">
                        <c:v>123.9</c:v>
                      </c:pt>
                      <c:pt idx="19">
                        <c:v>124.4</c:v>
                      </c:pt>
                      <c:pt idx="20">
                        <c:v>123.5</c:v>
                      </c:pt>
                      <c:pt idx="21">
                        <c:v>123.8</c:v>
                      </c:pt>
                      <c:pt idx="22">
                        <c:v>123.7</c:v>
                      </c:pt>
                      <c:pt idx="23">
                        <c:v>123.2</c:v>
                      </c:pt>
                      <c:pt idx="24">
                        <c:v>123.9</c:v>
                      </c:pt>
                      <c:pt idx="25">
                        <c:v>125.1</c:v>
                      </c:pt>
                      <c:pt idx="26">
                        <c:v>125.4</c:v>
                      </c:pt>
                      <c:pt idx="27">
                        <c:v>126.4</c:v>
                      </c:pt>
                      <c:pt idx="28">
                        <c:v>128</c:v>
                      </c:pt>
                      <c:pt idx="29">
                        <c:v>131.80000000000001</c:v>
                      </c:pt>
                      <c:pt idx="30">
                        <c:v>132.5</c:v>
                      </c:pt>
                      <c:pt idx="31">
                        <c:v>131.4</c:v>
                      </c:pt>
                      <c:pt idx="32">
                        <c:v>130.4</c:v>
                      </c:pt>
                      <c:pt idx="33">
                        <c:v>129.80000000000001</c:v>
                      </c:pt>
                      <c:pt idx="34">
                        <c:v>130.30000000000001</c:v>
                      </c:pt>
                      <c:pt idx="35">
                        <c:v>131.4</c:v>
                      </c:pt>
                      <c:pt idx="36">
                        <c:v>134.1</c:v>
                      </c:pt>
                      <c:pt idx="37">
                        <c:v>134.19999999999999</c:v>
                      </c:pt>
                      <c:pt idx="38">
                        <c:v>135.1</c:v>
                      </c:pt>
                      <c:pt idx="39">
                        <c:v>136.80000000000001</c:v>
                      </c:pt>
                      <c:pt idx="40">
                        <c:v>139.1</c:v>
                      </c:pt>
                      <c:pt idx="41">
                        <c:v>140.5</c:v>
                      </c:pt>
                      <c:pt idx="42">
                        <c:v>141.19999999999999</c:v>
                      </c:pt>
                      <c:pt idx="43">
                        <c:v>139.30000000000001</c:v>
                      </c:pt>
                      <c:pt idx="44">
                        <c:v>138</c:v>
                      </c:pt>
                      <c:pt idx="45">
                        <c:v>137.9</c:v>
                      </c:pt>
                      <c:pt idx="46">
                        <c:v>137.80000000000001</c:v>
                      </c:pt>
                      <c:pt idx="47">
                        <c:v>137.6</c:v>
                      </c:pt>
                      <c:pt idx="48">
                        <c:v>138.19999999999999</c:v>
                      </c:pt>
                      <c:pt idx="49">
                        <c:v>138.80000000000001</c:v>
                      </c:pt>
                      <c:pt idx="50">
                        <c:v>139</c:v>
                      </c:pt>
                      <c:pt idx="51">
                        <c:v>139.4</c:v>
                      </c:pt>
                      <c:pt idx="52">
                        <c:v>141.6</c:v>
                      </c:pt>
                      <c:pt idx="53">
                        <c:v>145.5</c:v>
                      </c:pt>
                      <c:pt idx="54">
                        <c:v>145.69999999999999</c:v>
                      </c:pt>
                      <c:pt idx="55">
                        <c:v>143.4</c:v>
                      </c:pt>
                      <c:pt idx="56">
                        <c:v>142.4</c:v>
                      </c:pt>
                      <c:pt idx="57">
                        <c:v>142.19999999999999</c:v>
                      </c:pt>
                      <c:pt idx="58">
                        <c:v>142.4</c:v>
                      </c:pt>
                      <c:pt idx="59">
                        <c:v>143.30000000000001</c:v>
                      </c:pt>
                      <c:pt idx="60">
                        <c:v>144.19999999999999</c:v>
                      </c:pt>
                      <c:pt idx="61">
                        <c:v>143.5</c:v>
                      </c:pt>
                      <c:pt idx="62">
                        <c:v>143.6</c:v>
                      </c:pt>
                      <c:pt idx="63">
                        <c:v>144.4</c:v>
                      </c:pt>
                      <c:pt idx="64">
                        <c:v>146.6</c:v>
                      </c:pt>
                      <c:pt idx="65">
                        <c:v>148.69999999999999</c:v>
                      </c:pt>
                      <c:pt idx="66">
                        <c:v>149.1</c:v>
                      </c:pt>
                      <c:pt idx="67">
                        <c:v>148</c:v>
                      </c:pt>
                      <c:pt idx="68">
                        <c:v>145.80000000000001</c:v>
                      </c:pt>
                      <c:pt idx="69">
                        <c:v>149.5</c:v>
                      </c:pt>
                      <c:pt idx="70">
                        <c:v>149.19999999999999</c:v>
                      </c:pt>
                      <c:pt idx="71">
                        <c:v>150.5</c:v>
                      </c:pt>
                      <c:pt idx="72">
                        <c:v>151.4</c:v>
                      </c:pt>
                      <c:pt idx="73">
                        <c:v>152</c:v>
                      </c:pt>
                      <c:pt idx="74">
                        <c:v>153</c:v>
                      </c:pt>
                      <c:pt idx="75">
                        <c:v>158.5</c:v>
                      </c:pt>
                      <c:pt idx="76">
                        <c:v>162.1</c:v>
                      </c:pt>
                      <c:pt idx="77">
                        <c:v>162.69999999999999</c:v>
                      </c:pt>
                      <c:pt idx="78">
                        <c:v>160.6</c:v>
                      </c:pt>
                      <c:pt idx="79">
                        <c:v>160.80000000000001</c:v>
                      </c:pt>
                      <c:pt idx="80">
                        <c:v>161</c:v>
                      </c:pt>
                      <c:pt idx="81">
                        <c:v>163.19999999999999</c:v>
                      </c:pt>
                      <c:pt idx="82">
                        <c:v>165</c:v>
                      </c:pt>
                      <c:pt idx="83">
                        <c:v>167.4</c:v>
                      </c:pt>
                      <c:pt idx="84">
                        <c:v>167.5</c:v>
                      </c:pt>
                      <c:pt idx="85">
                        <c:v>167</c:v>
                      </c:pt>
                      <c:pt idx="86">
                        <c:v>167.3</c:v>
                      </c:pt>
                      <c:pt idx="87">
                        <c:v>167.3</c:v>
                      </c:pt>
                      <c:pt idx="88">
                        <c:v>192.7</c:v>
                      </c:pt>
                      <c:pt idx="89">
                        <c:v>192.7</c:v>
                      </c:pt>
                      <c:pt idx="90">
                        <c:v>190.9</c:v>
                      </c:pt>
                      <c:pt idx="91">
                        <c:v>187.1</c:v>
                      </c:pt>
                      <c:pt idx="92">
                        <c:v>188.9</c:v>
                      </c:pt>
                      <c:pt idx="93">
                        <c:v>191</c:v>
                      </c:pt>
                      <c:pt idx="94">
                        <c:v>191</c:v>
                      </c:pt>
                      <c:pt idx="95">
                        <c:v>190.1</c:v>
                      </c:pt>
                      <c:pt idx="96">
                        <c:v>186.5</c:v>
                      </c:pt>
                      <c:pt idx="97">
                        <c:v>192.2</c:v>
                      </c:pt>
                      <c:pt idx="98">
                        <c:v>198</c:v>
                      </c:pt>
                      <c:pt idx="99">
                        <c:v>200.5</c:v>
                      </c:pt>
                      <c:pt idx="100">
                        <c:v>202</c:v>
                      </c:pt>
                      <c:pt idx="101">
                        <c:v>206.8</c:v>
                      </c:pt>
                      <c:pt idx="102">
                        <c:v>204</c:v>
                      </c:pt>
                      <c:pt idx="103">
                        <c:v>204</c:v>
                      </c:pt>
                      <c:pt idx="104">
                        <c:v>204.6</c:v>
                      </c:pt>
                      <c:pt idx="105">
                        <c:v>201.6</c:v>
                      </c:pt>
                      <c:pt idx="106">
                        <c:v>198.8</c:v>
                      </c:pt>
                      <c:pt idx="107">
                        <c:v>198.7</c:v>
                      </c:pt>
                      <c:pt idx="108">
                        <c:v>200.6</c:v>
                      </c:pt>
                      <c:pt idx="109">
                        <c:v>210.7</c:v>
                      </c:pt>
                      <c:pt idx="110">
                        <c:v>211.8</c:v>
                      </c:pt>
                      <c:pt idx="111">
                        <c:v>217</c:v>
                      </c:pt>
                      <c:pt idx="112">
                        <c:v>219.4</c:v>
                      </c:pt>
                      <c:pt idx="113">
                        <c:v>213</c:v>
                      </c:pt>
                      <c:pt idx="114">
                        <c:v>206.5</c:v>
                      </c:pt>
                      <c:pt idx="115">
                        <c:v>209.2</c:v>
                      </c:pt>
                      <c:pt idx="116">
                        <c:v>210.9</c:v>
                      </c:pt>
                      <c:pt idx="117">
                        <c:v>209.4</c:v>
                      </c:pt>
                      <c:pt idx="118">
                        <c:v>209</c:v>
                      </c:pt>
                      <c:pt idx="119">
                        <c:v>210.7</c:v>
                      </c:pt>
                      <c:pt idx="120">
                        <c:v>207.7</c:v>
                      </c:pt>
                      <c:pt idx="121">
                        <c:v>207.7</c:v>
                      </c:pt>
                      <c:pt idx="122">
                        <c:v>209.3</c:v>
                      </c:pt>
                      <c:pt idx="123">
                        <c:v>214.3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70C-45C2-AAF5-EDD358182740}"/>
                  </c:ext>
                </c:extLst>
              </c15:ser>
            </c15:filteredLineSeries>
          </c:ext>
        </c:extLst>
      </c:lineChart>
      <c:dateAx>
        <c:axId val="573875711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880991"/>
        <c:crosses val="autoZero"/>
        <c:auto val="1"/>
        <c:lblOffset val="100"/>
        <c:baseTimeUnit val="months"/>
      </c:dateAx>
      <c:valAx>
        <c:axId val="57388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875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6082997028560498"/>
          <c:y val="0.91444554846742698"/>
          <c:w val="0.42156009542087425"/>
          <c:h val="6.31140555214270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[Final_Case_Study_All_India_Index_Upto_April23 (1) (2).xlsx]COVID-19!PivotTable2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 Vs Post - COVID</a:t>
            </a:r>
            <a:r>
              <a:rPr lang="en-US" baseline="0"/>
              <a:t> CPI Comparison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3718198268694673"/>
          <c:y val="0.38932876750132284"/>
          <c:w val="0.65958385636578032"/>
          <c:h val="0.401894804286346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'COVID-19'!$B$18:$B$19</c:f>
              <c:strCache>
                <c:ptCount val="1"/>
                <c:pt idx="0">
                  <c:v>&lt;2016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'COVID-19'!$A$20:$A$22</c:f>
              <c:strCache>
                <c:ptCount val="3"/>
                <c:pt idx="0">
                  <c:v>Food</c:v>
                </c:pt>
                <c:pt idx="1">
                  <c:v>Fuel &amp; Light</c:v>
                </c:pt>
                <c:pt idx="2">
                  <c:v>Health_</c:v>
                </c:pt>
              </c:strCache>
            </c:strRef>
          </c:cat>
          <c:val>
            <c:numRef>
              <c:f>'COVID-19'!$B$20:$B$22</c:f>
              <c:numCache>
                <c:formatCode>0.00</c:formatCode>
                <c:ptCount val="3"/>
                <c:pt idx="0">
                  <c:v>120.72499999999998</c:v>
                </c:pt>
                <c:pt idx="1">
                  <c:v>113.96388888888889</c:v>
                </c:pt>
                <c:pt idx="2">
                  <c:v>112.65555555555555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EE-0602-4F4A-9439-484F39595A62}"/>
            </c:ext>
          </c:extLst>
        </c:ser>
        <c:ser>
          <c:idx val="1"/>
          <c:order val="1"/>
          <c:tx>
            <c:strRef>
              <c:f>'COVID-19'!$C$18:$C$19</c:f>
              <c:strCache>
                <c:ptCount val="1"/>
                <c:pt idx="0">
                  <c:v>2016-2019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'COVID-19'!$A$20:$A$22</c:f>
              <c:strCache>
                <c:ptCount val="3"/>
                <c:pt idx="0">
                  <c:v>Food</c:v>
                </c:pt>
                <c:pt idx="1">
                  <c:v>Fuel &amp; Light</c:v>
                </c:pt>
                <c:pt idx="2">
                  <c:v>Health_</c:v>
                </c:pt>
              </c:strCache>
            </c:strRef>
          </c:cat>
          <c:val>
            <c:numRef>
              <c:f>'COVID-19'!$C$20:$C$22</c:f>
              <c:numCache>
                <c:formatCode>0.00</c:formatCode>
                <c:ptCount val="3"/>
                <c:pt idx="0">
                  <c:v>138.66595744680851</c:v>
                </c:pt>
                <c:pt idx="1">
                  <c:v>133.39574468085104</c:v>
                </c:pt>
                <c:pt idx="2">
                  <c:v>134.55957446808506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EF-0602-4F4A-9439-484F39595A62}"/>
            </c:ext>
          </c:extLst>
        </c:ser>
        <c:ser>
          <c:idx val="2"/>
          <c:order val="2"/>
          <c:tx>
            <c:strRef>
              <c:f>'COVID-19'!$D$18:$D$19</c:f>
              <c:strCache>
                <c:ptCount val="1"/>
                <c:pt idx="0">
                  <c:v>2020-2023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'COVID-19'!$A$20:$A$22</c:f>
              <c:strCache>
                <c:ptCount val="3"/>
                <c:pt idx="0">
                  <c:v>Food</c:v>
                </c:pt>
                <c:pt idx="1">
                  <c:v>Fuel &amp; Light</c:v>
                </c:pt>
                <c:pt idx="2">
                  <c:v>Health_</c:v>
                </c:pt>
              </c:strCache>
            </c:strRef>
          </c:cat>
          <c:val>
            <c:numRef>
              <c:f>'COVID-19'!$D$20:$D$22</c:f>
              <c:numCache>
                <c:formatCode>0.00</c:formatCode>
                <c:ptCount val="3"/>
                <c:pt idx="0">
                  <c:v>165.70731707317074</c:v>
                </c:pt>
                <c:pt idx="1">
                  <c:v>162.2634146341463</c:v>
                </c:pt>
                <c:pt idx="2">
                  <c:v>167.59999999999997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E7-4115-BAC8-023D436136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9208000"/>
        <c:axId val="659223360"/>
      </c:barChart>
      <c:catAx>
        <c:axId val="659208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223360"/>
        <c:crosses val="autoZero"/>
        <c:auto val="1"/>
        <c:lblAlgn val="ctr"/>
        <c:lblOffset val="100"/>
        <c:noMultiLvlLbl val="0"/>
      </c:catAx>
      <c:valAx>
        <c:axId val="65922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CPI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208000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</a:t>
            </a:r>
            <a:r>
              <a:rPr lang="en-US" baseline="0"/>
              <a:t> Vs Post COVID - CPI Comparison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'COVID-19'!$N$3</c:f>
              <c:strCache>
                <c:ptCount val="1"/>
                <c:pt idx="0">
                  <c:v>Pre-COVID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'COVID-19'!$M$4:$M$6</c:f>
              <c:strCache>
                <c:ptCount val="3"/>
                <c:pt idx="0">
                  <c:v>Food</c:v>
                </c:pt>
                <c:pt idx="1">
                  <c:v>Fuel &amp; Light</c:v>
                </c:pt>
                <c:pt idx="2">
                  <c:v>Health_</c:v>
                </c:pt>
              </c:strCache>
            </c:strRef>
          </c:cat>
          <c:val>
            <c:numRef>
              <c:f>'COVID-19'!$N$4:$N$6</c:f>
              <c:numCache>
                <c:formatCode>0.00</c:formatCode>
                <c:ptCount val="3"/>
                <c:pt idx="0">
                  <c:v>138.66595744680851</c:v>
                </c:pt>
                <c:pt idx="1">
                  <c:v>133.39574468085104</c:v>
                </c:pt>
                <c:pt idx="2">
                  <c:v>134.55957446808509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F2-49A6-BCB0-C644B0F4447E}"/>
            </c:ext>
          </c:extLst>
        </c:ser>
        <c:ser>
          <c:idx val="1"/>
          <c:order val="1"/>
          <c:tx>
            <c:strRef>
              <c:f>'COVID-19'!$O$3</c:f>
              <c:strCache>
                <c:ptCount val="1"/>
                <c:pt idx="0">
                  <c:v>Post-COVID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'COVID-19'!$M$4:$M$6</c:f>
              <c:strCache>
                <c:ptCount val="3"/>
                <c:pt idx="0">
                  <c:v>Food</c:v>
                </c:pt>
                <c:pt idx="1">
                  <c:v>Fuel &amp; Light</c:v>
                </c:pt>
                <c:pt idx="2">
                  <c:v>Health_</c:v>
                </c:pt>
              </c:strCache>
            </c:strRef>
          </c:cat>
          <c:val>
            <c:numRef>
              <c:f>'COVID-19'!$O$4:$O$6</c:f>
              <c:numCache>
                <c:formatCode>0.00</c:formatCode>
                <c:ptCount val="3"/>
                <c:pt idx="0">
                  <c:v>165.70731707317071</c:v>
                </c:pt>
                <c:pt idx="1">
                  <c:v>162.26341463414633</c:v>
                </c:pt>
                <c:pt idx="2">
                  <c:v>167.6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F2-49A6-BCB0-C644B0F444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79846000"/>
        <c:axId val="879845520"/>
      </c:barChart>
      <c:catAx>
        <c:axId val="87984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845520"/>
        <c:crosses val="autoZero"/>
        <c:auto val="1"/>
        <c:lblAlgn val="ctr"/>
        <c:lblOffset val="100"/>
        <c:noMultiLvlLbl val="0"/>
      </c:catAx>
      <c:valAx>
        <c:axId val="87984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CPI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84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Crude</a:t>
            </a:r>
            <a:r>
              <a:rPr lang="en-US" baseline="0"/>
              <a:t> Oil Influenced Inflation Rate (2021-2023)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Fuel_Impact!$B$1</c:f>
              <c:strCache>
                <c:ptCount val="1"/>
                <c:pt idx="0">
                  <c:v>Fuel and light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Fuel_Impact!$A$2:$A$30</c:f>
              <c:numCache>
                <c:formatCode>[$-409]mmm\-yy;@</c:formatCode>
                <c:ptCount val="29"/>
                <c:pt idx="0">
                  <c:v>44197</c:v>
                </c:pt>
                <c:pt idx="1">
                  <c:v>44562</c:v>
                </c:pt>
                <c:pt idx="2">
                  <c:v>44927</c:v>
                </c:pt>
                <c:pt idx="3">
                  <c:v>44228</c:v>
                </c:pt>
                <c:pt idx="4">
                  <c:v>44593</c:v>
                </c:pt>
                <c:pt idx="5">
                  <c:v>44958</c:v>
                </c:pt>
                <c:pt idx="6">
                  <c:v>44256</c:v>
                </c:pt>
                <c:pt idx="7">
                  <c:v>44621</c:v>
                </c:pt>
                <c:pt idx="8">
                  <c:v>44986</c:v>
                </c:pt>
                <c:pt idx="9">
                  <c:v>44287</c:v>
                </c:pt>
                <c:pt idx="10">
                  <c:v>44652</c:v>
                </c:pt>
                <c:pt idx="11">
                  <c:v>45017</c:v>
                </c:pt>
                <c:pt idx="12">
                  <c:v>44317</c:v>
                </c:pt>
                <c:pt idx="13">
                  <c:v>44682</c:v>
                </c:pt>
                <c:pt idx="14">
                  <c:v>45047</c:v>
                </c:pt>
                <c:pt idx="15">
                  <c:v>44348</c:v>
                </c:pt>
                <c:pt idx="16">
                  <c:v>44713</c:v>
                </c:pt>
                <c:pt idx="17">
                  <c:v>44378</c:v>
                </c:pt>
                <c:pt idx="18">
                  <c:v>44743</c:v>
                </c:pt>
                <c:pt idx="19">
                  <c:v>44409</c:v>
                </c:pt>
                <c:pt idx="20">
                  <c:v>44774</c:v>
                </c:pt>
                <c:pt idx="21">
                  <c:v>44440</c:v>
                </c:pt>
                <c:pt idx="22">
                  <c:v>44805</c:v>
                </c:pt>
                <c:pt idx="23">
                  <c:v>44470</c:v>
                </c:pt>
                <c:pt idx="24">
                  <c:v>44835</c:v>
                </c:pt>
                <c:pt idx="25">
                  <c:v>44501</c:v>
                </c:pt>
                <c:pt idx="26">
                  <c:v>44866</c:v>
                </c:pt>
                <c:pt idx="27">
                  <c:v>44531</c:v>
                </c:pt>
                <c:pt idx="28">
                  <c:v>44896</c:v>
                </c:pt>
              </c:numCache>
            </c:numRef>
          </c:cat>
          <c:val>
            <c:numRef>
              <c:f>Fuel_Impact!$B$2:$B$30</c:f>
            </c:numRef>
          </c:val>
          <c:smooth val="0"/>
          <c:extLst>
            <c:ext xmlns:c16="http://schemas.microsoft.com/office/drawing/2014/chart" uri="{C3380CC4-5D6E-409C-BE32-E72D297353CC}">
              <c16:uniqueId val="{00000000-EA11-4AD5-96E0-0F5119F3D391}"/>
            </c:ext>
          </c:extLst>
        </c:ser>
        <c:ser>
          <c:idx val="1"/>
          <c:order val="1"/>
          <c:tx>
            <c:strRef>
              <c:f>Fuel_Impact!$C$1</c:f>
              <c:strCache>
                <c:ptCount val="1"/>
                <c:pt idx="0">
                  <c:v>Fuel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Fuel_Impact!$A$2:$A$30</c:f>
              <c:numCache>
                <c:formatCode>[$-409]mmm\-yy;@</c:formatCode>
                <c:ptCount val="29"/>
                <c:pt idx="0">
                  <c:v>44197</c:v>
                </c:pt>
                <c:pt idx="1">
                  <c:v>44562</c:v>
                </c:pt>
                <c:pt idx="2">
                  <c:v>44927</c:v>
                </c:pt>
                <c:pt idx="3">
                  <c:v>44228</c:v>
                </c:pt>
                <c:pt idx="4">
                  <c:v>44593</c:v>
                </c:pt>
                <c:pt idx="5">
                  <c:v>44958</c:v>
                </c:pt>
                <c:pt idx="6">
                  <c:v>44256</c:v>
                </c:pt>
                <c:pt idx="7">
                  <c:v>44621</c:v>
                </c:pt>
                <c:pt idx="8">
                  <c:v>44986</c:v>
                </c:pt>
                <c:pt idx="9">
                  <c:v>44287</c:v>
                </c:pt>
                <c:pt idx="10">
                  <c:v>44652</c:v>
                </c:pt>
                <c:pt idx="11">
                  <c:v>45017</c:v>
                </c:pt>
                <c:pt idx="12">
                  <c:v>44317</c:v>
                </c:pt>
                <c:pt idx="13">
                  <c:v>44682</c:v>
                </c:pt>
                <c:pt idx="14">
                  <c:v>45047</c:v>
                </c:pt>
                <c:pt idx="15">
                  <c:v>44348</c:v>
                </c:pt>
                <c:pt idx="16">
                  <c:v>44713</c:v>
                </c:pt>
                <c:pt idx="17">
                  <c:v>44378</c:v>
                </c:pt>
                <c:pt idx="18">
                  <c:v>44743</c:v>
                </c:pt>
                <c:pt idx="19">
                  <c:v>44409</c:v>
                </c:pt>
                <c:pt idx="20">
                  <c:v>44774</c:v>
                </c:pt>
                <c:pt idx="21">
                  <c:v>44440</c:v>
                </c:pt>
                <c:pt idx="22">
                  <c:v>44805</c:v>
                </c:pt>
                <c:pt idx="23">
                  <c:v>44470</c:v>
                </c:pt>
                <c:pt idx="24">
                  <c:v>44835</c:v>
                </c:pt>
                <c:pt idx="25">
                  <c:v>44501</c:v>
                </c:pt>
                <c:pt idx="26">
                  <c:v>44866</c:v>
                </c:pt>
                <c:pt idx="27">
                  <c:v>44531</c:v>
                </c:pt>
                <c:pt idx="28">
                  <c:v>44896</c:v>
                </c:pt>
              </c:numCache>
            </c:numRef>
          </c:cat>
          <c:val>
            <c:numRef>
              <c:f>Fuel_Impact!$C$2:$C$30</c:f>
              <c:numCache>
                <c:formatCode>0.00%</c:formatCode>
                <c:ptCount val="29"/>
                <c:pt idx="0">
                  <c:v>0</c:v>
                </c:pt>
                <c:pt idx="1">
                  <c:v>0.11020960108181191</c:v>
                </c:pt>
                <c:pt idx="2">
                  <c:v>0.1084043848964678</c:v>
                </c:pt>
                <c:pt idx="3">
                  <c:v>-0.16263736263736261</c:v>
                </c:pt>
                <c:pt idx="4">
                  <c:v>8.7270341207348973E-2</c:v>
                </c:pt>
                <c:pt idx="5">
                  <c:v>9.897404948702479E-2</c:v>
                </c:pt>
                <c:pt idx="6">
                  <c:v>-0.14607358594179021</c:v>
                </c:pt>
                <c:pt idx="7">
                  <c:v>7.5241157556270019E-2</c:v>
                </c:pt>
                <c:pt idx="8">
                  <c:v>8.7918660287081452E-2</c:v>
                </c:pt>
                <c:pt idx="9">
                  <c:v>-0.14458493677844975</c:v>
                </c:pt>
                <c:pt idx="10">
                  <c:v>0.10668380462724933</c:v>
                </c:pt>
                <c:pt idx="11">
                  <c:v>5.5168408826945417E-2</c:v>
                </c:pt>
                <c:pt idx="12">
                  <c:v>-0.12272977435332957</c:v>
                </c:pt>
                <c:pt idx="13">
                  <c:v>9.5357590966122882E-2</c:v>
                </c:pt>
                <c:pt idx="14">
                  <c:v>4.6964490263459432E-2</c:v>
                </c:pt>
                <c:pt idx="15">
                  <c:v>-0.12582056892778992</c:v>
                </c:pt>
                <c:pt idx="16">
                  <c:v>0.10137672090112633</c:v>
                </c:pt>
                <c:pt idx="17">
                  <c:v>-8.6931818181818249E-2</c:v>
                </c:pt>
                <c:pt idx="18">
                  <c:v>0.11761045426260117</c:v>
                </c:pt>
                <c:pt idx="19">
                  <c:v>-9.4654788418708238E-2</c:v>
                </c:pt>
                <c:pt idx="20">
                  <c:v>9.9630996309963207E-2</c:v>
                </c:pt>
                <c:pt idx="21">
                  <c:v>-9.0604026845637675E-2</c:v>
                </c:pt>
                <c:pt idx="22">
                  <c:v>0.10393603936039364</c:v>
                </c:pt>
                <c:pt idx="23">
                  <c:v>-8.5236768802228483E-2</c:v>
                </c:pt>
                <c:pt idx="24">
                  <c:v>9.9269183922046367E-2</c:v>
                </c:pt>
                <c:pt idx="25">
                  <c:v>-9.1966759002770057E-2</c:v>
                </c:pt>
                <c:pt idx="26">
                  <c:v>0.1061622940817572</c:v>
                </c:pt>
                <c:pt idx="27">
                  <c:v>-9.4870380584666389E-2</c:v>
                </c:pt>
                <c:pt idx="28">
                  <c:v>0.10907982937233399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11-4AD5-96E0-0F5119F3D391}"/>
            </c:ext>
          </c:extLst>
        </c:ser>
        <c:ser>
          <c:idx val="2"/>
          <c:order val="2"/>
          <c:tx>
            <c:strRef>
              <c:f>Fuel_Impact!$D$1</c:f>
              <c:strCache>
                <c:ptCount val="1"/>
                <c:pt idx="0">
                  <c:v>Transport and communication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Fuel_Impact!$A$2:$A$30</c:f>
              <c:numCache>
                <c:formatCode>[$-409]mmm\-yy;@</c:formatCode>
                <c:ptCount val="29"/>
                <c:pt idx="0">
                  <c:v>44197</c:v>
                </c:pt>
                <c:pt idx="1">
                  <c:v>44562</c:v>
                </c:pt>
                <c:pt idx="2">
                  <c:v>44927</c:v>
                </c:pt>
                <c:pt idx="3">
                  <c:v>44228</c:v>
                </c:pt>
                <c:pt idx="4">
                  <c:v>44593</c:v>
                </c:pt>
                <c:pt idx="5">
                  <c:v>44958</c:v>
                </c:pt>
                <c:pt idx="6">
                  <c:v>44256</c:v>
                </c:pt>
                <c:pt idx="7">
                  <c:v>44621</c:v>
                </c:pt>
                <c:pt idx="8">
                  <c:v>44986</c:v>
                </c:pt>
                <c:pt idx="9">
                  <c:v>44287</c:v>
                </c:pt>
                <c:pt idx="10">
                  <c:v>44652</c:v>
                </c:pt>
                <c:pt idx="11">
                  <c:v>45017</c:v>
                </c:pt>
                <c:pt idx="12">
                  <c:v>44317</c:v>
                </c:pt>
                <c:pt idx="13">
                  <c:v>44682</c:v>
                </c:pt>
                <c:pt idx="14">
                  <c:v>45047</c:v>
                </c:pt>
                <c:pt idx="15">
                  <c:v>44348</c:v>
                </c:pt>
                <c:pt idx="16">
                  <c:v>44713</c:v>
                </c:pt>
                <c:pt idx="17">
                  <c:v>44378</c:v>
                </c:pt>
                <c:pt idx="18">
                  <c:v>44743</c:v>
                </c:pt>
                <c:pt idx="19">
                  <c:v>44409</c:v>
                </c:pt>
                <c:pt idx="20">
                  <c:v>44774</c:v>
                </c:pt>
                <c:pt idx="21">
                  <c:v>44440</c:v>
                </c:pt>
                <c:pt idx="22">
                  <c:v>44805</c:v>
                </c:pt>
                <c:pt idx="23">
                  <c:v>44470</c:v>
                </c:pt>
                <c:pt idx="24">
                  <c:v>44835</c:v>
                </c:pt>
                <c:pt idx="25">
                  <c:v>44501</c:v>
                </c:pt>
                <c:pt idx="26">
                  <c:v>44866</c:v>
                </c:pt>
                <c:pt idx="27">
                  <c:v>44531</c:v>
                </c:pt>
                <c:pt idx="28">
                  <c:v>44896</c:v>
                </c:pt>
              </c:numCache>
            </c:numRef>
          </c:cat>
          <c:val>
            <c:numRef>
              <c:f>Fuel_Impact!$D$2:$D$30</c:f>
            </c:numRef>
          </c:val>
          <c:smooth val="0"/>
          <c:extLst>
            <c:ext xmlns:c16="http://schemas.microsoft.com/office/drawing/2014/chart" uri="{C3380CC4-5D6E-409C-BE32-E72D297353CC}">
              <c16:uniqueId val="{00000002-EA11-4AD5-96E0-0F5119F3D391}"/>
            </c:ext>
          </c:extLst>
        </c:ser>
        <c:ser>
          <c:idx val="3"/>
          <c:order val="3"/>
          <c:tx>
            <c:strRef>
              <c:f>Fuel_Impact!$E$1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Fuel_Impact!$A$2:$A$30</c:f>
              <c:numCache>
                <c:formatCode>[$-409]mmm\-yy;@</c:formatCode>
                <c:ptCount val="29"/>
                <c:pt idx="0">
                  <c:v>44197</c:v>
                </c:pt>
                <c:pt idx="1">
                  <c:v>44562</c:v>
                </c:pt>
                <c:pt idx="2">
                  <c:v>44927</c:v>
                </c:pt>
                <c:pt idx="3">
                  <c:v>44228</c:v>
                </c:pt>
                <c:pt idx="4">
                  <c:v>44593</c:v>
                </c:pt>
                <c:pt idx="5">
                  <c:v>44958</c:v>
                </c:pt>
                <c:pt idx="6">
                  <c:v>44256</c:v>
                </c:pt>
                <c:pt idx="7">
                  <c:v>44621</c:v>
                </c:pt>
                <c:pt idx="8">
                  <c:v>44986</c:v>
                </c:pt>
                <c:pt idx="9">
                  <c:v>44287</c:v>
                </c:pt>
                <c:pt idx="10">
                  <c:v>44652</c:v>
                </c:pt>
                <c:pt idx="11">
                  <c:v>45017</c:v>
                </c:pt>
                <c:pt idx="12">
                  <c:v>44317</c:v>
                </c:pt>
                <c:pt idx="13">
                  <c:v>44682</c:v>
                </c:pt>
                <c:pt idx="14">
                  <c:v>45047</c:v>
                </c:pt>
                <c:pt idx="15">
                  <c:v>44348</c:v>
                </c:pt>
                <c:pt idx="16">
                  <c:v>44713</c:v>
                </c:pt>
                <c:pt idx="17">
                  <c:v>44378</c:v>
                </c:pt>
                <c:pt idx="18">
                  <c:v>44743</c:v>
                </c:pt>
                <c:pt idx="19">
                  <c:v>44409</c:v>
                </c:pt>
                <c:pt idx="20">
                  <c:v>44774</c:v>
                </c:pt>
                <c:pt idx="21">
                  <c:v>44440</c:v>
                </c:pt>
                <c:pt idx="22">
                  <c:v>44805</c:v>
                </c:pt>
                <c:pt idx="23">
                  <c:v>44470</c:v>
                </c:pt>
                <c:pt idx="24">
                  <c:v>44835</c:v>
                </c:pt>
                <c:pt idx="25">
                  <c:v>44501</c:v>
                </c:pt>
                <c:pt idx="26">
                  <c:v>44866</c:v>
                </c:pt>
                <c:pt idx="27">
                  <c:v>44531</c:v>
                </c:pt>
                <c:pt idx="28">
                  <c:v>44896</c:v>
                </c:pt>
              </c:numCache>
            </c:numRef>
          </c:cat>
          <c:val>
            <c:numRef>
              <c:f>Fuel_Impact!$E$2:$E$30</c:f>
              <c:numCache>
                <c:formatCode>0.00%</c:formatCode>
                <c:ptCount val="29"/>
                <c:pt idx="0">
                  <c:v>0</c:v>
                </c:pt>
                <c:pt idx="1">
                  <c:v>0.10288935870331214</c:v>
                </c:pt>
                <c:pt idx="2">
                  <c:v>4.5367412140575041E-2</c:v>
                </c:pt>
                <c:pt idx="3">
                  <c:v>-0.11308068459657702</c:v>
                </c:pt>
                <c:pt idx="4">
                  <c:v>8.1323225361819518E-2</c:v>
                </c:pt>
                <c:pt idx="5">
                  <c:v>4.6526449968132461E-2</c:v>
                </c:pt>
                <c:pt idx="6">
                  <c:v>-0.10962241169305725</c:v>
                </c:pt>
                <c:pt idx="7">
                  <c:v>8.0027359781121868E-2</c:v>
                </c:pt>
                <c:pt idx="8">
                  <c:v>3.9898670044331744E-2</c:v>
                </c:pt>
                <c:pt idx="9">
                  <c:v>-0.10718635809987817</c:v>
                </c:pt>
                <c:pt idx="10">
                  <c:v>0.10914051841746249</c:v>
                </c:pt>
                <c:pt idx="11">
                  <c:v>1.1685116851168548E-2</c:v>
                </c:pt>
                <c:pt idx="12">
                  <c:v>-9.4832826747720325E-2</c:v>
                </c:pt>
                <c:pt idx="13">
                  <c:v>9.4694425789120171E-2</c:v>
                </c:pt>
                <c:pt idx="14">
                  <c:v>1.1042944785276143E-2</c:v>
                </c:pt>
                <c:pt idx="15">
                  <c:v>-8.5558252427184595E-2</c:v>
                </c:pt>
                <c:pt idx="16">
                  <c:v>6.901128069011285E-2</c:v>
                </c:pt>
                <c:pt idx="17">
                  <c:v>-4.9658597144630667E-2</c:v>
                </c:pt>
                <c:pt idx="18">
                  <c:v>5.5519268451992163E-2</c:v>
                </c:pt>
                <c:pt idx="19">
                  <c:v>-4.7029702970296995E-2</c:v>
                </c:pt>
                <c:pt idx="20">
                  <c:v>5.1298701298701337E-2</c:v>
                </c:pt>
                <c:pt idx="21">
                  <c:v>-4.8795552810376806E-2</c:v>
                </c:pt>
                <c:pt idx="22">
                  <c:v>5.389610389610397E-2</c:v>
                </c:pt>
                <c:pt idx="23">
                  <c:v>-4.066543438077648E-2</c:v>
                </c:pt>
                <c:pt idx="24">
                  <c:v>4.6242774566474104E-2</c:v>
                </c:pt>
                <c:pt idx="25">
                  <c:v>-4.9723756906077311E-2</c:v>
                </c:pt>
                <c:pt idx="26">
                  <c:v>5.2971576227390106E-2</c:v>
                </c:pt>
                <c:pt idx="27">
                  <c:v>-4.4785276073619699E-2</c:v>
                </c:pt>
                <c:pt idx="28">
                  <c:v>4.9454078355812572E-2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11-4AD5-96E0-0F5119F3D391}"/>
            </c:ext>
          </c:extLst>
        </c:ser>
        <c:ser>
          <c:idx val="4"/>
          <c:order val="4"/>
          <c:tx>
            <c:strRef>
              <c:f>Fuel_Impact!$F$1</c:f>
              <c:strCache>
                <c:ptCount val="1"/>
                <c:pt idx="0">
                  <c:v>General index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Fuel_Impact!$A$2:$A$30</c:f>
              <c:numCache>
                <c:formatCode>[$-409]mmm\-yy;@</c:formatCode>
                <c:ptCount val="29"/>
                <c:pt idx="0">
                  <c:v>44197</c:v>
                </c:pt>
                <c:pt idx="1">
                  <c:v>44562</c:v>
                </c:pt>
                <c:pt idx="2">
                  <c:v>44927</c:v>
                </c:pt>
                <c:pt idx="3">
                  <c:v>44228</c:v>
                </c:pt>
                <c:pt idx="4">
                  <c:v>44593</c:v>
                </c:pt>
                <c:pt idx="5">
                  <c:v>44958</c:v>
                </c:pt>
                <c:pt idx="6">
                  <c:v>44256</c:v>
                </c:pt>
                <c:pt idx="7">
                  <c:v>44621</c:v>
                </c:pt>
                <c:pt idx="8">
                  <c:v>44986</c:v>
                </c:pt>
                <c:pt idx="9">
                  <c:v>44287</c:v>
                </c:pt>
                <c:pt idx="10">
                  <c:v>44652</c:v>
                </c:pt>
                <c:pt idx="11">
                  <c:v>45017</c:v>
                </c:pt>
                <c:pt idx="12">
                  <c:v>44317</c:v>
                </c:pt>
                <c:pt idx="13">
                  <c:v>44682</c:v>
                </c:pt>
                <c:pt idx="14">
                  <c:v>45047</c:v>
                </c:pt>
                <c:pt idx="15">
                  <c:v>44348</c:v>
                </c:pt>
                <c:pt idx="16">
                  <c:v>44713</c:v>
                </c:pt>
                <c:pt idx="17">
                  <c:v>44378</c:v>
                </c:pt>
                <c:pt idx="18">
                  <c:v>44743</c:v>
                </c:pt>
                <c:pt idx="19">
                  <c:v>44409</c:v>
                </c:pt>
                <c:pt idx="20">
                  <c:v>44774</c:v>
                </c:pt>
                <c:pt idx="21">
                  <c:v>44440</c:v>
                </c:pt>
                <c:pt idx="22">
                  <c:v>44805</c:v>
                </c:pt>
                <c:pt idx="23">
                  <c:v>44470</c:v>
                </c:pt>
                <c:pt idx="24">
                  <c:v>44835</c:v>
                </c:pt>
                <c:pt idx="25">
                  <c:v>44501</c:v>
                </c:pt>
                <c:pt idx="26">
                  <c:v>44866</c:v>
                </c:pt>
                <c:pt idx="27">
                  <c:v>44531</c:v>
                </c:pt>
                <c:pt idx="28">
                  <c:v>44896</c:v>
                </c:pt>
              </c:numCache>
            </c:numRef>
          </c:cat>
          <c:val>
            <c:numRef>
              <c:f>Fuel_Impact!$F$2:$F$30</c:f>
            </c:numRef>
          </c:val>
          <c:smooth val="0"/>
          <c:extLst>
            <c:ext xmlns:c16="http://schemas.microsoft.com/office/drawing/2014/chart" uri="{C3380CC4-5D6E-409C-BE32-E72D297353CC}">
              <c16:uniqueId val="{00000004-EA11-4AD5-96E0-0F5119F3D391}"/>
            </c:ext>
          </c:extLst>
        </c:ser>
        <c:ser>
          <c:idx val="5"/>
          <c:order val="5"/>
          <c:tx>
            <c:strRef>
              <c:f>Fuel_Impact!$G$1</c:f>
              <c:strCache>
                <c:ptCount val="1"/>
                <c:pt idx="0">
                  <c:v>General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Fuel_Impact!$A$2:$A$30</c:f>
              <c:numCache>
                <c:formatCode>[$-409]mmm\-yy;@</c:formatCode>
                <c:ptCount val="29"/>
                <c:pt idx="0">
                  <c:v>44197</c:v>
                </c:pt>
                <c:pt idx="1">
                  <c:v>44562</c:v>
                </c:pt>
                <c:pt idx="2">
                  <c:v>44927</c:v>
                </c:pt>
                <c:pt idx="3">
                  <c:v>44228</c:v>
                </c:pt>
                <c:pt idx="4">
                  <c:v>44593</c:v>
                </c:pt>
                <c:pt idx="5">
                  <c:v>44958</c:v>
                </c:pt>
                <c:pt idx="6">
                  <c:v>44256</c:v>
                </c:pt>
                <c:pt idx="7">
                  <c:v>44621</c:v>
                </c:pt>
                <c:pt idx="8">
                  <c:v>44986</c:v>
                </c:pt>
                <c:pt idx="9">
                  <c:v>44287</c:v>
                </c:pt>
                <c:pt idx="10">
                  <c:v>44652</c:v>
                </c:pt>
                <c:pt idx="11">
                  <c:v>45017</c:v>
                </c:pt>
                <c:pt idx="12">
                  <c:v>44317</c:v>
                </c:pt>
                <c:pt idx="13">
                  <c:v>44682</c:v>
                </c:pt>
                <c:pt idx="14">
                  <c:v>45047</c:v>
                </c:pt>
                <c:pt idx="15">
                  <c:v>44348</c:v>
                </c:pt>
                <c:pt idx="16">
                  <c:v>44713</c:v>
                </c:pt>
                <c:pt idx="17">
                  <c:v>44378</c:v>
                </c:pt>
                <c:pt idx="18">
                  <c:v>44743</c:v>
                </c:pt>
                <c:pt idx="19">
                  <c:v>44409</c:v>
                </c:pt>
                <c:pt idx="20">
                  <c:v>44774</c:v>
                </c:pt>
                <c:pt idx="21">
                  <c:v>44440</c:v>
                </c:pt>
                <c:pt idx="22">
                  <c:v>44805</c:v>
                </c:pt>
                <c:pt idx="23">
                  <c:v>44470</c:v>
                </c:pt>
                <c:pt idx="24">
                  <c:v>44835</c:v>
                </c:pt>
                <c:pt idx="25">
                  <c:v>44501</c:v>
                </c:pt>
                <c:pt idx="26">
                  <c:v>44866</c:v>
                </c:pt>
                <c:pt idx="27">
                  <c:v>44531</c:v>
                </c:pt>
                <c:pt idx="28">
                  <c:v>44896</c:v>
                </c:pt>
              </c:numCache>
            </c:numRef>
          </c:cat>
          <c:val>
            <c:numRef>
              <c:f>Fuel_Impact!$G$2:$G$30</c:f>
              <c:numCache>
                <c:formatCode>0.00%</c:formatCode>
                <c:ptCount val="29"/>
                <c:pt idx="0">
                  <c:v>0</c:v>
                </c:pt>
                <c:pt idx="1">
                  <c:v>5.3401144310235071E-2</c:v>
                </c:pt>
                <c:pt idx="2">
                  <c:v>6.5178032589016374E-2</c:v>
                </c:pt>
                <c:pt idx="3">
                  <c:v>-0.11274787535410769</c:v>
                </c:pt>
                <c:pt idx="4">
                  <c:v>6.066411238825032E-2</c:v>
                </c:pt>
                <c:pt idx="5">
                  <c:v>6.6827212522576729E-2</c:v>
                </c:pt>
                <c:pt idx="6">
                  <c:v>-0.11512415349887122</c:v>
                </c:pt>
                <c:pt idx="7">
                  <c:v>6.9515306122448828E-2</c:v>
                </c:pt>
                <c:pt idx="8">
                  <c:v>5.6648777579010143E-2</c:v>
                </c:pt>
                <c:pt idx="9">
                  <c:v>-0.10948081264108341</c:v>
                </c:pt>
                <c:pt idx="10">
                  <c:v>7.7946768060836391E-2</c:v>
                </c:pt>
                <c:pt idx="11">
                  <c:v>4.7031158142269255E-2</c:v>
                </c:pt>
                <c:pt idx="12">
                  <c:v>-9.9382369455362093E-2</c:v>
                </c:pt>
                <c:pt idx="13">
                  <c:v>7.0448877805486171E-2</c:v>
                </c:pt>
                <c:pt idx="14">
                  <c:v>4.3098427489807842E-2</c:v>
                </c:pt>
                <c:pt idx="15">
                  <c:v>-9.9385817978782709E-2</c:v>
                </c:pt>
                <c:pt idx="16">
                  <c:v>7.0055796652200755E-2</c:v>
                </c:pt>
                <c:pt idx="17">
                  <c:v>-5.8516801853997651E-2</c:v>
                </c:pt>
                <c:pt idx="18">
                  <c:v>6.7076923076923117E-2</c:v>
                </c:pt>
                <c:pt idx="19">
                  <c:v>-5.8823529411764802E-2</c:v>
                </c:pt>
                <c:pt idx="20">
                  <c:v>6.8014705882353088E-2</c:v>
                </c:pt>
                <c:pt idx="21">
                  <c:v>-6.3683304647160197E-2</c:v>
                </c:pt>
                <c:pt idx="22">
                  <c:v>7.4142156862745237E-2</c:v>
                </c:pt>
                <c:pt idx="23">
                  <c:v>-5.5904164289788998E-2</c:v>
                </c:pt>
                <c:pt idx="24">
                  <c:v>6.7673716012084523E-2</c:v>
                </c:pt>
                <c:pt idx="25">
                  <c:v>-5.6593095642331642E-2</c:v>
                </c:pt>
                <c:pt idx="26">
                  <c:v>5.8788242351529768E-2</c:v>
                </c:pt>
                <c:pt idx="27">
                  <c:v>-5.8356940509915078E-2</c:v>
                </c:pt>
                <c:pt idx="28">
                  <c:v>5.7160048134777382E-2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A11-4AD5-96E0-0F5119F3D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1638752"/>
        <c:axId val="831647872"/>
      </c:lineChart>
      <c:dateAx>
        <c:axId val="831638752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647872"/>
        <c:crosses val="autoZero"/>
        <c:auto val="1"/>
        <c:lblOffset val="100"/>
        <c:baseTimeUnit val="months"/>
      </c:dateAx>
      <c:valAx>
        <c:axId val="83164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Inflation</a:t>
                </a:r>
                <a:r>
                  <a:rPr lang="en-US" baseline="0"/>
                  <a:t> Rate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63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25</xdr:col>
      <xdr:colOff>133351</xdr:colOff>
      <xdr:row>3</xdr:row>
      <xdr:rowOff>47625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B020D0E-2BB0-D46A-8FD5-43C29B94A0E2}"/>
            </a:ext>
          </a:extLst>
        </xdr:cNvPr>
        <xdr:cNvSpPr/>
      </xdr:nvSpPr>
      <xdr:spPr>
        <a:xfrm>
          <a:off x="19050" y="19050"/>
          <a:ext cx="15354301" cy="6096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200" b="1">
              <a:latin typeface="Berlin Sans FB" panose="020E0602020502020306" pitchFamily="34" charset="0"/>
            </a:rPr>
            <a:t>Indian</a:t>
          </a:r>
          <a:r>
            <a:rPr lang="en-US" sz="2200" b="1" baseline="0">
              <a:latin typeface="Berlin Sans FB" panose="020E0602020502020306" pitchFamily="34" charset="0"/>
            </a:rPr>
            <a:t> CPI Inflation Analysis Dashboard (2013 - 2023)</a:t>
          </a:r>
          <a:endParaRPr lang="en-US" sz="2200" b="1">
            <a:latin typeface="Berlin Sans FB" panose="020E0602020502020306" pitchFamily="34" charset="0"/>
          </a:endParaRPr>
        </a:p>
      </xdr:txBody>
    </xdr:sp>
    <xdr:clientData/>
  </xdr:twoCellAnchor>
  <xdr:twoCellAnchor>
    <xdr:from>
      <xdr:col>2</xdr:col>
      <xdr:colOff>561975</xdr:colOff>
      <xdr:row>13</xdr:row>
      <xdr:rowOff>133350</xdr:rowOff>
    </xdr:from>
    <xdr:to>
      <xdr:col>12</xdr:col>
      <xdr:colOff>66675</xdr:colOff>
      <xdr:row>29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E1557B-B317-4835-8051-D218333F88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47625</xdr:colOff>
      <xdr:row>13</xdr:row>
      <xdr:rowOff>133349</xdr:rowOff>
    </xdr:from>
    <xdr:to>
      <xdr:col>22</xdr:col>
      <xdr:colOff>76200</xdr:colOff>
      <xdr:row>29</xdr:row>
      <xdr:rowOff>47624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DE0E86-2581-448E-B189-0AC87D80F0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571500</xdr:colOff>
      <xdr:row>38</xdr:row>
      <xdr:rowOff>161924</xdr:rowOff>
    </xdr:from>
    <xdr:to>
      <xdr:col>12</xdr:col>
      <xdr:colOff>123825</xdr:colOff>
      <xdr:row>54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B742801-F621-4A8F-B37B-000E2D640E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85724</xdr:colOff>
      <xdr:row>39</xdr:row>
      <xdr:rowOff>1</xdr:rowOff>
    </xdr:from>
    <xdr:to>
      <xdr:col>22</xdr:col>
      <xdr:colOff>85725</xdr:colOff>
      <xdr:row>54</xdr:row>
      <xdr:rowOff>152401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952FE2E-2379-4C6A-8B76-4EECD6637E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123825</xdr:colOff>
      <xdr:row>65</xdr:row>
      <xdr:rowOff>171450</xdr:rowOff>
    </xdr:from>
    <xdr:to>
      <xdr:col>12</xdr:col>
      <xdr:colOff>171449</xdr:colOff>
      <xdr:row>81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D1D7957-F85D-4716-90DA-7530FED968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1457325</xdr:colOff>
      <xdr:row>4</xdr:row>
      <xdr:rowOff>133350</xdr:rowOff>
    </xdr:from>
    <xdr:to>
      <xdr:col>9</xdr:col>
      <xdr:colOff>1371600</xdr:colOff>
      <xdr:row>20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0B2CD4-436C-FE81-0A96-CE400AD973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15</xdr:row>
      <xdr:rowOff>85725</xdr:rowOff>
    </xdr:from>
    <xdr:to>
      <xdr:col>10</xdr:col>
      <xdr:colOff>152400</xdr:colOff>
      <xdr:row>30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CFFE5F-23A0-352E-5212-CB66015866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314324</xdr:colOff>
      <xdr:row>5</xdr:row>
      <xdr:rowOff>61912</xdr:rowOff>
    </xdr:from>
    <xdr:to>
      <xdr:col>33</xdr:col>
      <xdr:colOff>466725</xdr:colOff>
      <xdr:row>19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D05034-5940-2E88-1CAB-D8E8E6E83B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552450</xdr:colOff>
      <xdr:row>21</xdr:row>
      <xdr:rowOff>161925</xdr:rowOff>
    </xdr:from>
    <xdr:to>
      <xdr:col>33</xdr:col>
      <xdr:colOff>285750</xdr:colOff>
      <xdr:row>34</xdr:row>
      <xdr:rowOff>185737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3B52AD-2115-414F-1634-38549DB281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219075</xdr:colOff>
      <xdr:row>1</xdr:row>
      <xdr:rowOff>152400</xdr:rowOff>
    </xdr:from>
    <xdr:to>
      <xdr:col>48</xdr:col>
      <xdr:colOff>47625</xdr:colOff>
      <xdr:row>19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5BFEDE-0A4D-5BA1-008A-DF320DD258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8</xdr:row>
      <xdr:rowOff>171450</xdr:rowOff>
    </xdr:from>
    <xdr:to>
      <xdr:col>11</xdr:col>
      <xdr:colOff>409575</xdr:colOff>
      <xdr:row>22</xdr:row>
      <xdr:rowOff>4761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DCB765-10B1-874B-CA9D-B2D96E52E9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442632</xdr:colOff>
      <xdr:row>8</xdr:row>
      <xdr:rowOff>90767</xdr:rowOff>
    </xdr:from>
    <xdr:to>
      <xdr:col>17</xdr:col>
      <xdr:colOff>756396</xdr:colOff>
      <xdr:row>22</xdr:row>
      <xdr:rowOff>166967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536FCC-A108-74F4-19FB-58A79D1087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600074</xdr:colOff>
      <xdr:row>1</xdr:row>
      <xdr:rowOff>95250</xdr:rowOff>
    </xdr:from>
    <xdr:to>
      <xdr:col>19</xdr:col>
      <xdr:colOff>609599</xdr:colOff>
      <xdr:row>20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3365AA-10C7-B051-2D51-5746D3E144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60.99925763889" createdVersion="8" refreshedVersion="8" minRefreshableVersion="3" recordCount="372" xr:uid="{335A0AB5-EAA8-4008-916D-41A7810DD48D}">
  <cacheSource type="worksheet">
    <worksheetSource ref="A1:AH373" sheet="All_India_Index_Upto_April23 (1"/>
  </cacheSource>
  <cacheFields count="37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  <fieldGroup base="1">
        <rangePr autoStart="0" startNum="2016" endNum="2023" groupInterval="4"/>
        <groupItems count="4">
          <s v="&lt;2016"/>
          <s v="2016-2019"/>
          <s v="2020-2023"/>
          <s v="&gt;2024"/>
        </groupItems>
      </fieldGroup>
    </cacheField>
    <cacheField name="Month" numFmtId="0">
      <sharedItems containsSemiMixedTypes="0" containsString="0" containsNumber="1" containsInteger="1" minValue="1" maxValue="12"/>
    </cacheField>
    <cacheField name="Date" numFmtId="164">
      <sharedItems containsSemiMixedTypes="0" containsNonDate="0" containsDate="1" containsString="0" minDate="2013-01-01T00:00:00" maxDate="2023-05-02T00:00:00" count="124">
        <d v="2013-01-01T00:00:00"/>
        <d v="2014-01-01T00:00:00"/>
        <d v="2015-01-01T00:00:00"/>
        <d v="2016-01-01T00:00:00"/>
        <d v="2017-01-01T00:00:00"/>
        <d v="2018-01-01T00:00:00"/>
        <d v="2019-01-01T00:00:00"/>
        <d v="2020-01-01T00:00:00"/>
        <d v="2021-01-01T00:00:00"/>
        <d v="2022-01-01T00:00:00"/>
        <d v="2023-01-01T00:00:00"/>
        <d v="2013-02-01T00:00:00"/>
        <d v="2014-02-01T00:00:00"/>
        <d v="2015-02-01T00:00:00"/>
        <d v="2016-02-01T00:00:00"/>
        <d v="2017-02-01T00:00:00"/>
        <d v="2018-02-01T00:00:00"/>
        <d v="2019-02-01T00:00:00"/>
        <d v="2020-02-01T00:00:00"/>
        <d v="2021-02-01T00:00:00"/>
        <d v="2022-02-01T00:00:00"/>
        <d v="2023-02-01T00:00:00"/>
        <d v="2013-03-01T00:00:00"/>
        <d v="2014-03-01T00:00:00"/>
        <d v="2015-03-01T00:00:00"/>
        <d v="2016-03-01T00:00:00"/>
        <d v="2017-03-01T00:00:00"/>
        <d v="2018-03-01T00:00:00"/>
        <d v="2019-03-01T00:00:00"/>
        <d v="2020-03-01T00:00:00"/>
        <d v="2021-03-01T00:00:00"/>
        <d v="2022-03-01T00:00:00"/>
        <d v="2023-03-01T00:00:00"/>
        <d v="2013-04-01T00:00:00"/>
        <d v="2014-04-01T00:00:00"/>
        <d v="2015-04-01T00:00:00"/>
        <d v="2016-04-01T00:00:00"/>
        <d v="2017-04-01T00:00:00"/>
        <d v="2018-04-01T00:00:00"/>
        <d v="2020-04-01T00:00:00"/>
        <d v="2021-04-01T00:00:00"/>
        <d v="2022-04-01T00:00:00"/>
        <d v="2023-04-01T00:00:00"/>
        <d v="2013-05-01T00:00:00"/>
        <d v="2014-05-01T00:00:00"/>
        <d v="2015-05-01T00:00:00"/>
        <d v="2016-05-01T00:00:00"/>
        <d v="2017-05-01T00:00:00"/>
        <d v="2018-05-01T00:00:00"/>
        <d v="2019-05-01T00:00:00"/>
        <d v="2020-05-01T00:00:00"/>
        <d v="2021-05-01T00:00:00"/>
        <d v="2022-05-01T00:00:00"/>
        <d v="2023-05-01T00:00:00"/>
        <d v="2013-06-01T00:00:00"/>
        <d v="2014-06-01T00:00:00"/>
        <d v="2015-06-01T00:00:00"/>
        <d v="2016-06-01T00:00:00"/>
        <d v="2017-06-01T00:00:00"/>
        <d v="2018-06-01T00:00:00"/>
        <d v="2019-06-01T00:00:00"/>
        <d v="2020-06-01T00:00:00"/>
        <d v="2021-06-01T00:00:00"/>
        <d v="2022-06-01T00:00:00"/>
        <d v="2013-07-01T00:00:00"/>
        <d v="2014-07-01T00:00:00"/>
        <d v="2015-07-01T00:00:00"/>
        <d v="2016-07-01T00:00:00"/>
        <d v="2017-07-01T00:00:00"/>
        <d v="2018-07-01T00:00:00"/>
        <d v="2019-07-01T00:00:00"/>
        <d v="2020-07-01T00:00:00"/>
        <d v="2021-07-01T00:00:00"/>
        <d v="2022-07-01T00:00:00"/>
        <d v="2013-08-01T00:00:00"/>
        <d v="2014-08-01T00:00:00"/>
        <d v="2015-08-01T00:00:00"/>
        <d v="2016-08-01T00:00:00"/>
        <d v="2017-08-01T00:00:00"/>
        <d v="2018-08-01T00:00:00"/>
        <d v="2019-08-01T00:00:00"/>
        <d v="2020-08-01T00:00:00"/>
        <d v="2021-08-01T00:00:00"/>
        <d v="2022-08-01T00:00:00"/>
        <d v="2013-09-01T00:00:00"/>
        <d v="2014-09-01T00:00:00"/>
        <d v="2015-09-01T00:00:00"/>
        <d v="2016-09-01T00:00:00"/>
        <d v="2017-09-01T00:00:00"/>
        <d v="2018-09-01T00:00:00"/>
        <d v="2019-09-01T00:00:00"/>
        <d v="2020-09-01T00:00:00"/>
        <d v="2021-09-01T00:00:00"/>
        <d v="2022-09-01T00:00:00"/>
        <d v="2013-10-01T00:00:00"/>
        <d v="2014-10-01T00:00:00"/>
        <d v="2015-10-01T00:00:00"/>
        <d v="2016-10-01T00:00:00"/>
        <d v="2017-10-01T00:00:00"/>
        <d v="2018-10-01T00:00:00"/>
        <d v="2019-10-01T00:00:00"/>
        <d v="2020-10-01T00:00:00"/>
        <d v="2021-10-01T00:00:00"/>
        <d v="2022-10-01T00:00:00"/>
        <d v="2013-11-01T00:00:00"/>
        <d v="2014-11-01T00:00:00"/>
        <d v="2015-11-01T00:00:00"/>
        <d v="2016-11-01T00:00:00"/>
        <d v="2017-11-01T00:00:00"/>
        <d v="2018-11-01T00:00:00"/>
        <d v="2019-11-01T00:00:00"/>
        <d v="2020-11-01T00:00:00"/>
        <d v="2021-11-01T00:00:00"/>
        <d v="2022-11-01T00:00:00"/>
        <d v="2013-12-01T00:00:00"/>
        <d v="2014-12-01T00:00:00"/>
        <d v="2015-12-01T00:00:00"/>
        <d v="2016-12-01T00:00:00"/>
        <d v="2017-12-01T00:00:00"/>
        <d v="2018-12-01T00:00:00"/>
        <d v="2019-12-01T00:00:00"/>
        <d v="2020-12-01T00:00:00"/>
        <d v="2021-12-01T00:00:00"/>
        <d v="2022-12-01T00:00:00"/>
      </sharedItems>
      <fieldGroup par="36"/>
    </cacheField>
    <cacheField name="Cereals and products" numFmtId="0">
      <sharedItems containsSemiMixedTypes="0" containsString="0" containsNumber="1" minValue="107.5" maxValue="174.8"/>
    </cacheField>
    <cacheField name="Meat and fish" numFmtId="0">
      <sharedItems containsSemiMixedTypes="0" containsString="0" containsNumber="1" minValue="106.3" maxValue="223.4"/>
    </cacheField>
    <cacheField name="Egg" numFmtId="0">
      <sharedItems containsSemiMixedTypes="0" containsString="0" containsNumber="1" minValue="102.7" maxValue="197"/>
    </cacheField>
    <cacheField name="Milk and products" numFmtId="0">
      <sharedItems containsSemiMixedTypes="0" containsString="0" containsNumber="1" minValue="103.6" maxValue="179.6"/>
    </cacheField>
    <cacheField name="Oils and fats" numFmtId="0">
      <sharedItems containsSemiMixedTypes="0" containsString="0" containsNumber="1" minValue="101.1" maxValue="209.9"/>
    </cacheField>
    <cacheField name="Fruits" numFmtId="0">
      <sharedItems containsSemiMixedTypes="0" containsString="0" containsNumber="1" minValue="102.3" maxValue="179.5"/>
    </cacheField>
    <cacheField name="Vegetables" numFmtId="0">
      <sharedItems containsSemiMixedTypes="0" containsString="0" containsNumber="1" minValue="101.4" maxValue="245.3"/>
    </cacheField>
    <cacheField name="Pulses and products" numFmtId="0">
      <sharedItems containsSemiMixedTypes="0" containsString="0" containsNumber="1" minValue="103.5" maxValue="191.6"/>
    </cacheField>
    <cacheField name="Sugar and Confectionery" numFmtId="0">
      <sharedItems containsSemiMixedTypes="0" containsString="0" containsNumber="1" minValue="85.3" maxValue="124.2"/>
    </cacheField>
    <cacheField name="Spices" numFmtId="0">
      <sharedItems containsSemiMixedTypes="0" containsString="0" containsNumber="1" minValue="101.8" maxValue="221"/>
    </cacheField>
    <cacheField name="Non-alcoholic beverages" numFmtId="0">
      <sharedItems containsSemiMixedTypes="0" containsString="0" containsNumber="1" minValue="104.8" maxValue="178.7"/>
    </cacheField>
    <cacheField name="Prepared meals, snacks, sweets etc." numFmtId="0">
      <sharedItems containsSemiMixedTypes="0" containsString="0" containsNumber="1" minValue="106.7" maxValue="197.7"/>
    </cacheField>
    <cacheField name="Food and beverages" numFmtId="0">
      <sharedItems containsSemiMixedTypes="0" containsString="0" containsNumber="1" minValue="105.5" maxValue="183.3"/>
    </cacheField>
    <cacheField name="inflation rate food" numFmtId="0">
      <sharedItems containsSemiMixedTypes="0" containsString="0" containsNumber="1" minValue="-0.3984153933220147" maxValue="0.11649782923299583"/>
    </cacheField>
    <cacheField name="Pan, tobacco and intoxicants" numFmtId="0">
      <sharedItems containsSemiMixedTypes="0" containsString="0" containsNumber="1" minValue="105.1" maxValue="204.2"/>
    </cacheField>
    <cacheField name="Clothing" numFmtId="0">
      <sharedItems containsSemiMixedTypes="0" containsString="0" containsNumber="1" minValue="105.9" maxValue="191.2"/>
    </cacheField>
    <cacheField name="Footwear" numFmtId="0">
      <sharedItems containsSemiMixedTypes="0" containsString="0" containsNumber="1" minValue="105" maxValue="187.9"/>
    </cacheField>
    <cacheField name="Clothing and footwear" numFmtId="0">
      <sharedItems containsSemiMixedTypes="0" containsString="0" containsNumber="1" minValue="105.8" maxValue="190.8"/>
    </cacheField>
    <cacheField name="Housing" numFmtId="0">
      <sharedItems containsMixedTypes="1" containsNumber="1" minValue="100.3" maxValue="175.6"/>
    </cacheField>
    <cacheField name="Fuel and light" numFmtId="0">
      <sharedItems containsSemiMixedTypes="0" containsString="0" containsNumber="1" minValue="105.4" maxValue="183.4"/>
    </cacheField>
    <cacheField name="inflation rate fuel and light" numFmtId="0">
      <sharedItems containsSemiMixedTypes="0" containsString="0" containsNumber="1" minValue="-0.4173531026908292" maxValue="0.15653389238294904"/>
    </cacheField>
    <cacheField name="Household goods and services" numFmtId="0">
      <sharedItems containsSemiMixedTypes="0" containsString="0" containsNumber="1" minValue="104.8" maxValue="179.8"/>
    </cacheField>
    <cacheField name="Health" numFmtId="0">
      <sharedItems containsSemiMixedTypes="0" containsString="0" containsNumber="1" minValue="104" maxValue="187.8"/>
    </cacheField>
    <cacheField name="inflation rate health" numFmtId="0">
      <sharedItems containsSemiMixedTypes="0" containsString="0" containsNumber="1" minValue="-0.43221258134490237" maxValue="0.14127218934911259"/>
    </cacheField>
    <cacheField name="Transport and communication" numFmtId="0">
      <sharedItems containsSemiMixedTypes="0" containsString="0" containsNumber="1" minValue="103.2" maxValue="169.7"/>
    </cacheField>
    <cacheField name="Recreation and amusement" numFmtId="0">
      <sharedItems containsSemiMixedTypes="0" containsString="0" containsNumber="1" minValue="102.9" maxValue="173.8"/>
    </cacheField>
    <cacheField name="Education" numFmtId="0">
      <sharedItems containsSemiMixedTypes="0" containsString="0" containsNumber="1" minValue="103.5" maxValue="180.3"/>
    </cacheField>
    <cacheField name="Personal care and effects" numFmtId="0">
      <sharedItems containsSemiMixedTypes="0" containsString="0" containsNumber="1" minValue="102.1" maxValue="185.6"/>
    </cacheField>
    <cacheField name="Miscellaneous" numFmtId="0">
      <sharedItems containsSemiMixedTypes="0" containsString="0" containsNumber="1" minValue="103.7" maxValue="179.5"/>
    </cacheField>
    <cacheField name="General index" numFmtId="0">
      <sharedItems containsSemiMixedTypes="0" containsString="0" containsNumber="1" minValue="104" maxValue="179.8"/>
    </cacheField>
    <cacheField name="Hours (Date)" numFmtId="0" databaseField="0">
      <fieldGroup base="3">
        <rangePr groupBy="hours" startDate="2013-01-01T00:00:00" endDate="2023-05-02T00:00:00"/>
        <groupItems count="26">
          <s v="&lt;1/1/2013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5/2/2023"/>
        </groupItems>
      </fieldGroup>
    </cacheField>
    <cacheField name="Months (Date)" numFmtId="0" databaseField="0">
      <fieldGroup base="3">
        <rangePr groupBy="months" startDate="2013-01-01T00:00:00" endDate="2023-05-02T00:00:00"/>
        <groupItems count="14">
          <s v="&lt;1/1/20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2/2023"/>
        </groupItems>
      </fieldGroup>
    </cacheField>
    <cacheField name="Years (Date)" numFmtId="0" databaseField="0">
      <fieldGroup base="3">
        <rangePr groupBy="years" startDate="2013-01-01T00:00:00" endDate="2023-05-02T00:00:00"/>
        <groupItems count="13">
          <s v="&lt;1/1/2013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&gt;5/2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">
  <r>
    <x v="0"/>
    <x v="0"/>
    <n v="1"/>
    <x v="0"/>
    <n v="107.5"/>
    <n v="106.3"/>
    <n v="108.1"/>
    <n v="104.9"/>
    <n v="106.1"/>
    <n v="103.9"/>
    <n v="101.9"/>
    <n v="106.1"/>
    <n v="106.8"/>
    <n v="103.1"/>
    <n v="104.8"/>
    <n v="106.7"/>
    <n v="105.5"/>
    <n v="0"/>
    <n v="105.1"/>
    <n v="106.5"/>
    <n v="105.8"/>
    <n v="106.4"/>
    <s v="NA"/>
    <n v="105.5"/>
    <n v="0"/>
    <n v="104.8"/>
    <n v="104"/>
    <n v="0"/>
    <n v="103.3"/>
    <n v="103.4"/>
    <n v="103.8"/>
    <n v="104.7"/>
    <n v="104"/>
    <n v="105.1"/>
  </r>
  <r>
    <x v="1"/>
    <x v="0"/>
    <n v="1"/>
    <x v="0"/>
    <n v="110.5"/>
    <n v="109.1"/>
    <n v="113"/>
    <n v="103.6"/>
    <n v="103.4"/>
    <n v="102.3"/>
    <n v="102.9"/>
    <n v="105.8"/>
    <n v="105.1"/>
    <n v="101.8"/>
    <n v="105.1"/>
    <n v="107.9"/>
    <n v="105.9"/>
    <n v="3.7914691943128501E-3"/>
    <n v="105.2"/>
    <n v="105.9"/>
    <n v="105"/>
    <n v="105.8"/>
    <n v="100.3"/>
    <n v="105.4"/>
    <n v="-9.478672985781452E-4"/>
    <n v="104.8"/>
    <n v="104.1"/>
    <n v="9.6153846153840684E-4"/>
    <n v="103.2"/>
    <n v="102.9"/>
    <n v="103.5"/>
    <n v="104.3"/>
    <n v="103.7"/>
    <n v="104"/>
  </r>
  <r>
    <x v="2"/>
    <x v="0"/>
    <n v="1"/>
    <x v="0"/>
    <n v="108.4"/>
    <n v="107.3"/>
    <n v="110"/>
    <n v="104.4"/>
    <n v="105.1"/>
    <n v="103.2"/>
    <n v="102.2"/>
    <n v="106"/>
    <n v="106.2"/>
    <n v="102.7"/>
    <n v="104.9"/>
    <n v="107.3"/>
    <n v="105.6"/>
    <n v="-2.832861189801807E-3"/>
    <n v="105.1"/>
    <n v="106.3"/>
    <n v="105.5"/>
    <n v="106.2"/>
    <n v="100.3"/>
    <n v="105.5"/>
    <n v="9.487666034155058E-4"/>
    <n v="104.8"/>
    <n v="104"/>
    <n v="-9.6061479346776484E-4"/>
    <n v="103.2"/>
    <n v="103.1"/>
    <n v="103.6"/>
    <n v="104.5"/>
    <n v="103.9"/>
    <n v="104.6"/>
  </r>
  <r>
    <x v="0"/>
    <x v="1"/>
    <n v="1"/>
    <x v="1"/>
    <n v="118.9"/>
    <n v="117.1"/>
    <n v="120.5"/>
    <n v="114.4"/>
    <n v="109"/>
    <n v="115.5"/>
    <n v="123.9"/>
    <n v="109.6"/>
    <n v="101.8"/>
    <n v="110.2"/>
    <n v="112.4"/>
    <n v="117.3"/>
    <n v="116"/>
    <n v="9.848484848484855E-2"/>
    <n v="114"/>
    <n v="116.5"/>
    <n v="114.5"/>
    <n v="116.2"/>
    <s v="NA"/>
    <n v="113"/>
    <n v="7.1090047393364927E-2"/>
    <n v="112.6"/>
    <n v="110.6"/>
    <n v="6.3461538461538403E-2"/>
    <n v="110.5"/>
    <n v="109.6"/>
    <n v="111.8"/>
    <n v="108.3"/>
    <n v="110.6"/>
    <n v="114.2"/>
  </r>
  <r>
    <x v="1"/>
    <x v="1"/>
    <n v="1"/>
    <x v="1"/>
    <n v="121.2"/>
    <n v="122"/>
    <n v="129.9"/>
    <n v="113.6"/>
    <n v="102.9"/>
    <n v="112.1"/>
    <n v="118.9"/>
    <n v="107.5"/>
    <n v="96.9"/>
    <n v="112.7"/>
    <n v="112.1"/>
    <n v="119"/>
    <n v="115.5"/>
    <n v="-4.3103448275862068E-3"/>
    <n v="115.7"/>
    <n v="114.8"/>
    <n v="111.3"/>
    <n v="114.3"/>
    <n v="111.6"/>
    <n v="111"/>
    <n v="-1.7699115044247787E-2"/>
    <n v="111.9"/>
    <n v="109.7"/>
    <n v="-8.1374321880650236E-3"/>
    <n v="110.8"/>
    <n v="109.8"/>
    <n v="111.5"/>
    <n v="108"/>
    <n v="110.5"/>
    <n v="112.9"/>
  </r>
  <r>
    <x v="2"/>
    <x v="1"/>
    <n v="1"/>
    <x v="1"/>
    <n v="119.6"/>
    <n v="118.8"/>
    <n v="124.1"/>
    <n v="114.1"/>
    <n v="106.8"/>
    <n v="113.9"/>
    <n v="122.2"/>
    <n v="108.9"/>
    <n v="100.2"/>
    <n v="111"/>
    <n v="112.3"/>
    <n v="118.1"/>
    <n v="115.8"/>
    <n v="2.5974025974025727E-3"/>
    <n v="114.5"/>
    <n v="115.8"/>
    <n v="113.2"/>
    <n v="115.4"/>
    <n v="111.6"/>
    <n v="112.2"/>
    <n v="1.0810810810810836E-2"/>
    <n v="112.3"/>
    <n v="110.3"/>
    <n v="5.4694621695532755E-3"/>
    <n v="110.7"/>
    <n v="109.7"/>
    <n v="111.6"/>
    <n v="108.2"/>
    <n v="110.6"/>
    <n v="113.6"/>
  </r>
  <r>
    <x v="0"/>
    <x v="2"/>
    <n v="1"/>
    <x v="2"/>
    <n v="123.1"/>
    <n v="123.1"/>
    <n v="122.1"/>
    <n v="124.9"/>
    <n v="111"/>
    <n v="130.4"/>
    <n v="132.30000000000001"/>
    <n v="117.2"/>
    <n v="100.5"/>
    <n v="117.2"/>
    <n v="117.9"/>
    <n v="125.6"/>
    <n v="122.8"/>
    <n v="6.0449050086355788E-2"/>
    <n v="122.7"/>
    <n v="124.4"/>
    <n v="121.6"/>
    <n v="124"/>
    <s v="NA"/>
    <n v="118.4"/>
    <n v="5.5258467023172927E-2"/>
    <n v="118.9"/>
    <n v="116.6"/>
    <n v="5.7116953762465977E-2"/>
    <n v="111"/>
    <n v="114"/>
    <n v="118.2"/>
    <n v="110.2"/>
    <n v="114.5"/>
    <n v="120.3"/>
  </r>
  <r>
    <x v="1"/>
    <x v="2"/>
    <n v="1"/>
    <x v="2"/>
    <n v="124"/>
    <n v="125.5"/>
    <n v="126.6"/>
    <n v="125.2"/>
    <n v="104.3"/>
    <n v="121.3"/>
    <n v="134.4"/>
    <n v="122.9"/>
    <n v="96.1"/>
    <n v="126.6"/>
    <n v="116.5"/>
    <n v="128"/>
    <n v="123.5"/>
    <n v="5.7003257328990461E-3"/>
    <n v="127.4"/>
    <n v="121"/>
    <n v="116.1"/>
    <n v="120.2"/>
    <n v="117.3"/>
    <n v="113.4"/>
    <n v="-4.2229729729729729E-2"/>
    <n v="117.2"/>
    <n v="113.7"/>
    <n v="-2.4871355060034232E-2"/>
    <n v="107.9"/>
    <n v="114.6"/>
    <n v="120.8"/>
    <n v="111.4"/>
    <n v="113.4"/>
    <n v="118.5"/>
  </r>
  <r>
    <x v="2"/>
    <x v="2"/>
    <n v="1"/>
    <x v="2"/>
    <n v="123.4"/>
    <n v="123.9"/>
    <n v="123.8"/>
    <n v="125"/>
    <n v="108.5"/>
    <n v="126.2"/>
    <n v="133"/>
    <n v="119.1"/>
    <n v="99"/>
    <n v="120.3"/>
    <n v="117.3"/>
    <n v="126.7"/>
    <n v="123.1"/>
    <n v="-3.2388663967611794E-3"/>
    <n v="124"/>
    <n v="123.1"/>
    <n v="119.3"/>
    <n v="122.5"/>
    <n v="117.3"/>
    <n v="116.5"/>
    <n v="2.7336860670193953E-2"/>
    <n v="118.1"/>
    <n v="115.5"/>
    <n v="1.5831134564643773E-2"/>
    <n v="109.4"/>
    <n v="114.3"/>
    <n v="119.7"/>
    <n v="110.7"/>
    <n v="114"/>
    <n v="119.5"/>
  </r>
  <r>
    <x v="0"/>
    <x v="3"/>
    <n v="1"/>
    <x v="3"/>
    <n v="126.8"/>
    <n v="133.19999999999999"/>
    <n v="126.5"/>
    <n v="130.30000000000001"/>
    <n v="118.9"/>
    <n v="131.6"/>
    <n v="140.1"/>
    <n v="163.80000000000001"/>
    <n v="97.7"/>
    <n v="129.6"/>
    <n v="124.3"/>
    <n v="135.9"/>
    <n v="131.4"/>
    <n v="6.742485783915525E-2"/>
    <n v="133.6"/>
    <n v="133.19999999999999"/>
    <n v="128.9"/>
    <n v="132.6"/>
    <s v="NA"/>
    <n v="126.2"/>
    <n v="8.3261802575107319E-2"/>
    <n v="126.6"/>
    <n v="123.7"/>
    <n v="7.0995670995671015E-2"/>
    <n v="113.6"/>
    <n v="121.4"/>
    <n v="126.2"/>
    <n v="114.9"/>
    <n v="120.1"/>
    <n v="128.1"/>
  </r>
  <r>
    <x v="1"/>
    <x v="3"/>
    <n v="1"/>
    <x v="3"/>
    <n v="124.7"/>
    <n v="135.9"/>
    <n v="132"/>
    <n v="129.19999999999999"/>
    <n v="109.7"/>
    <n v="119"/>
    <n v="144.1"/>
    <n v="184.2"/>
    <n v="96.7"/>
    <n v="139.5"/>
    <n v="120.5"/>
    <n v="134.69999999999999"/>
    <n v="131.19999999999999"/>
    <n v="-1.52207001522083E-3"/>
    <n v="139.5"/>
    <n v="125.8"/>
    <n v="119.8"/>
    <n v="124.9"/>
    <n v="123.4"/>
    <n v="116.9"/>
    <n v="-7.3692551505546725E-2"/>
    <n v="121.6"/>
    <n v="119.1"/>
    <n v="-3.7186742118027555E-2"/>
    <n v="108.9"/>
    <n v="118.5"/>
    <n v="126.4"/>
    <n v="114"/>
    <n v="116.8"/>
    <n v="124.2"/>
  </r>
  <r>
    <x v="2"/>
    <x v="3"/>
    <n v="1"/>
    <x v="3"/>
    <n v="126.1"/>
    <n v="134.1"/>
    <n v="128.6"/>
    <n v="129.9"/>
    <n v="115.5"/>
    <n v="125.7"/>
    <n v="141.5"/>
    <n v="170.7"/>
    <n v="97.4"/>
    <n v="132.9"/>
    <n v="122.7"/>
    <n v="135.30000000000001"/>
    <n v="131.30000000000001"/>
    <n v="7.621951219513929E-4"/>
    <n v="135.19999999999999"/>
    <n v="130.30000000000001"/>
    <n v="125.1"/>
    <n v="129.5"/>
    <n v="123.4"/>
    <n v="122.7"/>
    <n v="4.9615055603079529E-2"/>
    <n v="124.2"/>
    <n v="122"/>
    <n v="2.4349286314021879E-2"/>
    <n v="111.1"/>
    <n v="119.8"/>
    <n v="126.3"/>
    <n v="114.5"/>
    <n v="118.5"/>
    <n v="126.3"/>
  </r>
  <r>
    <x v="0"/>
    <x v="4"/>
    <n v="1"/>
    <x v="4"/>
    <n v="133.1"/>
    <n v="137.80000000000001"/>
    <n v="131.9"/>
    <n v="136.69999999999999"/>
    <n v="122"/>
    <n v="136"/>
    <n v="119.8"/>
    <n v="161.69999999999999"/>
    <n v="114.8"/>
    <n v="136.9"/>
    <n v="129"/>
    <n v="143.9"/>
    <n v="133.69999999999999"/>
    <n v="1.8278750952018103E-2"/>
    <n v="143.1"/>
    <n v="140.69999999999999"/>
    <n v="135.80000000000001"/>
    <n v="140"/>
    <s v="NA"/>
    <n v="132.1"/>
    <n v="7.6609616951915163E-2"/>
    <n v="133.19999999999999"/>
    <n v="129.9"/>
    <n v="6.4754098360655779E-2"/>
    <n v="119.1"/>
    <n v="127"/>
    <n v="134.6"/>
    <n v="122.3"/>
    <n v="126.6"/>
    <n v="132.4"/>
  </r>
  <r>
    <x v="1"/>
    <x v="4"/>
    <n v="1"/>
    <x v="4"/>
    <n v="132.19999999999999"/>
    <n v="138.9"/>
    <n v="132.6"/>
    <n v="133.1"/>
    <n v="114"/>
    <n v="129.6"/>
    <n v="118.7"/>
    <n v="155.1"/>
    <n v="117.3"/>
    <n v="144.9"/>
    <n v="123.2"/>
    <n v="141.6"/>
    <n v="132"/>
    <n v="-1.271503365744195E-2"/>
    <n v="145.6"/>
    <n v="130.19999999999999"/>
    <n v="122.3"/>
    <n v="129"/>
    <n v="129.6"/>
    <n v="118"/>
    <n v="-0.1067373202119606"/>
    <n v="125.1"/>
    <n v="122.6"/>
    <n v="-5.6197074672825337E-2"/>
    <n v="115.2"/>
    <n v="122"/>
    <n v="132.4"/>
    <n v="120.9"/>
    <n v="122.1"/>
    <n v="127.8"/>
  </r>
  <r>
    <x v="2"/>
    <x v="4"/>
    <n v="1"/>
    <x v="4"/>
    <n v="132.80000000000001"/>
    <n v="138.19999999999999"/>
    <n v="132.19999999999999"/>
    <n v="135.4"/>
    <n v="119.1"/>
    <n v="133"/>
    <n v="119.4"/>
    <n v="159.5"/>
    <n v="115.6"/>
    <n v="139.6"/>
    <n v="126.6"/>
    <n v="142.80000000000001"/>
    <n v="133.1"/>
    <n v="8.3333333333332898E-3"/>
    <n v="143.80000000000001"/>
    <n v="136.6"/>
    <n v="130.19999999999999"/>
    <n v="135.6"/>
    <n v="129.6"/>
    <n v="126.8"/>
    <n v="7.4576271186440654E-2"/>
    <n v="129.4"/>
    <n v="127.1"/>
    <n v="3.6704730831973897E-2"/>
    <n v="117"/>
    <n v="124.2"/>
    <n v="133.30000000000001"/>
    <n v="121.7"/>
    <n v="124.4"/>
    <n v="130.30000000000001"/>
  </r>
  <r>
    <x v="0"/>
    <x v="5"/>
    <n v="1"/>
    <x v="5"/>
    <n v="136.6"/>
    <n v="144.4"/>
    <n v="143.80000000000001"/>
    <n v="142"/>
    <n v="123.2"/>
    <n v="147.9"/>
    <n v="152.1"/>
    <n v="131.80000000000001"/>
    <n v="119.5"/>
    <n v="136"/>
    <n v="131.19999999999999"/>
    <n v="151.80000000000001"/>
    <n v="140.4"/>
    <n v="5.4845980465815264E-2"/>
    <n v="153.6"/>
    <n v="148.30000000000001"/>
    <n v="142.30000000000001"/>
    <n v="147.5"/>
    <s v="NA"/>
    <n v="142.30000000000001"/>
    <n v="0.12223974763406951"/>
    <n v="139.80000000000001"/>
    <n v="136"/>
    <n v="7.0023603461841125E-2"/>
    <n v="122.7"/>
    <n v="134.30000000000001"/>
    <n v="141.6"/>
    <n v="128.6"/>
    <n v="132.30000000000001"/>
    <n v="139.30000000000001"/>
  </r>
  <r>
    <x v="1"/>
    <x v="5"/>
    <n v="1"/>
    <x v="5"/>
    <n v="134.6"/>
    <n v="143.69999999999999"/>
    <n v="143.6"/>
    <n v="139.6"/>
    <n v="116.4"/>
    <n v="133.80000000000001"/>
    <n v="150.5"/>
    <n v="118.4"/>
    <n v="117.3"/>
    <n v="140.5"/>
    <n v="125.9"/>
    <n v="146.80000000000001"/>
    <n v="137.19999999999999"/>
    <n v="-2.2792022792022911E-2"/>
    <n v="157.69999999999999"/>
    <n v="136"/>
    <n v="125.9"/>
    <n v="134.4"/>
    <n v="140.4"/>
    <n v="127.3"/>
    <n v="-0.10541110330288132"/>
    <n v="129.5"/>
    <n v="129"/>
    <n v="-5.1470588235294115E-2"/>
    <n v="116.3"/>
    <n v="126.2"/>
    <n v="137.1"/>
    <n v="125.5"/>
    <n v="125.8"/>
    <n v="134.1"/>
  </r>
  <r>
    <x v="2"/>
    <x v="5"/>
    <n v="1"/>
    <x v="5"/>
    <n v="136"/>
    <n v="144.19999999999999"/>
    <n v="143.69999999999999"/>
    <n v="141.1"/>
    <n v="120.7"/>
    <n v="141.30000000000001"/>
    <n v="151.6"/>
    <n v="127.3"/>
    <n v="118.8"/>
    <n v="137.5"/>
    <n v="129"/>
    <n v="149.5"/>
    <n v="139.19999999999999"/>
    <n v="1.457725947521866E-2"/>
    <n v="154.69999999999999"/>
    <n v="143.5"/>
    <n v="135.5"/>
    <n v="142.30000000000001"/>
    <n v="140.4"/>
    <n v="136.6"/>
    <n v="7.3055773762765105E-2"/>
    <n v="134.9"/>
    <n v="133.30000000000001"/>
    <n v="3.3333333333333423E-2"/>
    <n v="119.3"/>
    <n v="129.69999999999999"/>
    <n v="139"/>
    <n v="127.3"/>
    <n v="129.1"/>
    <n v="136.9"/>
  </r>
  <r>
    <x v="0"/>
    <x v="6"/>
    <n v="1"/>
    <x v="6"/>
    <n v="136.6"/>
    <n v="152.5"/>
    <n v="138.19999999999999"/>
    <n v="142.4"/>
    <n v="123.9"/>
    <n v="135.5"/>
    <n v="131.69999999999999"/>
    <n v="121.3"/>
    <n v="108.4"/>
    <n v="138.9"/>
    <n v="137"/>
    <n v="155.80000000000001"/>
    <n v="137.4"/>
    <n v="-1.2931034482758499E-2"/>
    <n v="162.69999999999999"/>
    <n v="150.6"/>
    <n v="145.1"/>
    <n v="149.9"/>
    <s v="NA"/>
    <n v="146.19999999999999"/>
    <n v="7.0278184480234221E-2"/>
    <n v="150.1"/>
    <n v="149.6"/>
    <n v="0.1222805701425355"/>
    <n v="128.6"/>
    <n v="142.9"/>
    <n v="155.19999999999999"/>
    <n v="133.5"/>
    <n v="141.69999999999999"/>
    <n v="141"/>
  </r>
  <r>
    <x v="1"/>
    <x v="6"/>
    <n v="1"/>
    <x v="6"/>
    <n v="138.30000000000001"/>
    <n v="149.4"/>
    <n v="143.5"/>
    <n v="141.69999999999999"/>
    <n v="118.1"/>
    <n v="135.19999999999999"/>
    <n v="130.5"/>
    <n v="118.2"/>
    <n v="110.4"/>
    <n v="140.4"/>
    <n v="128.1"/>
    <n v="153.19999999999999"/>
    <n v="137.30000000000001"/>
    <n v="-7.2780203784566459E-4"/>
    <n v="164.7"/>
    <n v="143"/>
    <n v="130.4"/>
    <n v="141.1"/>
    <n v="147.69999999999999"/>
    <n v="128.6"/>
    <n v="-0.12038303693570448"/>
    <n v="136.30000000000001"/>
    <n v="137.80000000000001"/>
    <n v="-7.8877005347593468E-2"/>
    <n v="118.6"/>
    <n v="131.9"/>
    <n v="146.6"/>
    <n v="131.69999999999999"/>
    <n v="131.80000000000001"/>
    <n v="138"/>
  </r>
  <r>
    <x v="2"/>
    <x v="6"/>
    <n v="1"/>
    <x v="6"/>
    <n v="137.1"/>
    <n v="151.4"/>
    <n v="140.19999999999999"/>
    <n v="142.1"/>
    <n v="121.8"/>
    <n v="135.4"/>
    <n v="131.30000000000001"/>
    <n v="120.3"/>
    <n v="109.1"/>
    <n v="139.4"/>
    <n v="133.30000000000001"/>
    <n v="154.6"/>
    <n v="137.4"/>
    <n v="7.283321194464261E-4"/>
    <n v="163.19999999999999"/>
    <n v="147.6"/>
    <n v="139"/>
    <n v="146.4"/>
    <n v="147.69999999999999"/>
    <n v="139.5"/>
    <n v="8.475894245723177E-2"/>
    <n v="143.6"/>
    <n v="145.1"/>
    <n v="5.2975326560232093E-2"/>
    <n v="123.3"/>
    <n v="136.69999999999999"/>
    <n v="150.19999999999999"/>
    <n v="132.80000000000001"/>
    <n v="136.9"/>
    <n v="139.6"/>
  </r>
  <r>
    <x v="0"/>
    <x v="7"/>
    <n v="1"/>
    <x v="7"/>
    <n v="143.69999999999999"/>
    <n v="167.3"/>
    <n v="153.5"/>
    <n v="150.5"/>
    <n v="132"/>
    <n v="142.19999999999999"/>
    <n v="191.5"/>
    <n v="141.1"/>
    <n v="113.8"/>
    <n v="151.6"/>
    <n v="139.69999999999999"/>
    <n v="158.69999999999999"/>
    <n v="153"/>
    <n v="0.11353711790393009"/>
    <n v="168.6"/>
    <n v="152.80000000000001"/>
    <n v="147.4"/>
    <n v="152.1"/>
    <s v="NA"/>
    <n v="150.4"/>
    <n v="7.8136200716845919E-2"/>
    <n v="151.69999999999999"/>
    <n v="155.69999999999999"/>
    <n v="7.3053066850447934E-2"/>
    <n v="136.30000000000001"/>
    <n v="150.1"/>
    <n v="161.69999999999999"/>
    <n v="142.5"/>
    <n v="148.1"/>
    <n v="151.9"/>
  </r>
  <r>
    <x v="1"/>
    <x v="7"/>
    <n v="1"/>
    <x v="7"/>
    <n v="145.6"/>
    <n v="167.6"/>
    <n v="157"/>
    <n v="149.30000000000001"/>
    <n v="126.3"/>
    <n v="144.4"/>
    <n v="207.8"/>
    <n v="139.1"/>
    <n v="114.8"/>
    <n v="149.5"/>
    <n v="131.1"/>
    <n v="158.5"/>
    <n v="154.4"/>
    <n v="9.1503267973856578E-3"/>
    <n v="170.8"/>
    <n v="147"/>
    <n v="133.19999999999999"/>
    <n v="144.9"/>
    <n v="153.9"/>
    <n v="135.1"/>
    <n v="-0.10172872340425539"/>
    <n v="140.1"/>
    <n v="143.80000000000001"/>
    <n v="-7.6429030186255478E-2"/>
    <n v="126.1"/>
    <n v="137.19999999999999"/>
    <n v="152.1"/>
    <n v="142.1"/>
    <n v="138.4"/>
    <n v="148.19999999999999"/>
  </r>
  <r>
    <x v="2"/>
    <x v="7"/>
    <n v="1"/>
    <x v="7"/>
    <n v="144.30000000000001"/>
    <n v="167.4"/>
    <n v="154.9"/>
    <n v="150.1"/>
    <n v="129.9"/>
    <n v="143.19999999999999"/>
    <n v="197"/>
    <n v="140.4"/>
    <n v="114.1"/>
    <n v="150.9"/>
    <n v="136.1"/>
    <n v="158.6"/>
    <n v="153.5"/>
    <n v="-5.8290155440414871E-3"/>
    <n v="169.2"/>
    <n v="150.5"/>
    <n v="141.5"/>
    <n v="149.19999999999999"/>
    <n v="153.9"/>
    <n v="144.6"/>
    <n v="7.0318282753515912E-2"/>
    <n v="146.19999999999999"/>
    <n v="151.19999999999999"/>
    <n v="5.1460361613351713E-2"/>
    <n v="130.9"/>
    <n v="142.80000000000001"/>
    <n v="156.1"/>
    <n v="142.30000000000001"/>
    <n v="143.4"/>
    <n v="150.19999999999999"/>
  </r>
  <r>
    <x v="0"/>
    <x v="8"/>
    <n v="1"/>
    <x v="8"/>
    <n v="143.4"/>
    <n v="187.5"/>
    <n v="173.4"/>
    <n v="154"/>
    <n v="154.80000000000001"/>
    <n v="147"/>
    <n v="187.8"/>
    <n v="159.5"/>
    <n v="113.8"/>
    <n v="164.5"/>
    <n v="156.1"/>
    <n v="164.3"/>
    <n v="159.6"/>
    <n v="3.9739413680781724E-2"/>
    <n v="184.6"/>
    <n v="157.5"/>
    <n v="152.4"/>
    <n v="156.80000000000001"/>
    <s v="NA"/>
    <n v="150.9"/>
    <n v="4.3568464730290538E-2"/>
    <n v="153.9"/>
    <n v="162.5"/>
    <n v="7.4735449735449822E-2"/>
    <n v="147.5"/>
    <n v="155.1"/>
    <n v="163.5"/>
    <n v="156.19999999999999"/>
    <n v="155.9"/>
    <n v="158.5"/>
  </r>
  <r>
    <x v="1"/>
    <x v="8"/>
    <n v="1"/>
    <x v="8"/>
    <n v="148"/>
    <n v="194.8"/>
    <n v="178.4"/>
    <n v="154.4"/>
    <n v="144.1"/>
    <n v="152.6"/>
    <n v="206.8"/>
    <n v="162.1"/>
    <n v="116.3"/>
    <n v="163"/>
    <n v="145.9"/>
    <n v="167.2"/>
    <n v="163.4"/>
    <n v="2.3809523809523881E-2"/>
    <n v="191.8"/>
    <n v="152.5"/>
    <n v="137.30000000000001"/>
    <n v="150.19999999999999"/>
    <n v="157.69999999999999"/>
    <n v="142.9"/>
    <n v="-5.3015241882041084E-2"/>
    <n v="145.69999999999999"/>
    <n v="154.1"/>
    <n v="-5.1692307692307725E-2"/>
    <n v="136.9"/>
    <n v="145.4"/>
    <n v="156.1"/>
    <n v="157.69999999999999"/>
    <n v="147.6"/>
    <n v="156"/>
  </r>
  <r>
    <x v="2"/>
    <x v="8"/>
    <n v="1"/>
    <x v="8"/>
    <n v="144.9"/>
    <n v="190.1"/>
    <n v="175.3"/>
    <n v="154.1"/>
    <n v="150.9"/>
    <n v="149.6"/>
    <n v="194.2"/>
    <n v="160.4"/>
    <n v="114.6"/>
    <n v="164"/>
    <n v="151.80000000000001"/>
    <n v="165.6"/>
    <n v="161"/>
    <n v="-1.468788249694006E-2"/>
    <n v="186.5"/>
    <n v="155.5"/>
    <n v="146.1"/>
    <n v="154.19999999999999"/>
    <n v="157.69999999999999"/>
    <n v="147.9"/>
    <n v="3.498950314905528E-2"/>
    <n v="150"/>
    <n v="159.30000000000001"/>
    <n v="3.3744321868916398E-2"/>
    <n v="141.9"/>
    <n v="149.6"/>
    <n v="159.19999999999999"/>
    <n v="156.80000000000001"/>
    <n v="151.9"/>
    <n v="157.30000000000001"/>
  </r>
  <r>
    <x v="0"/>
    <x v="9"/>
    <n v="1"/>
    <x v="9"/>
    <n v="148.30000000000001"/>
    <n v="196.9"/>
    <n v="178"/>
    <n v="160.5"/>
    <n v="192.6"/>
    <n v="151.19999999999999"/>
    <n v="159.19999999999999"/>
    <n v="164"/>
    <n v="119.3"/>
    <n v="173.3"/>
    <n v="169.8"/>
    <n v="175.8"/>
    <n v="164.1"/>
    <n v="1.9254658385093132E-2"/>
    <n v="190.7"/>
    <n v="173.2"/>
    <n v="169.3"/>
    <n v="172.7"/>
    <s v="NA"/>
    <n v="165.8"/>
    <n v="0.12102772143340099"/>
    <n v="164.9"/>
    <n v="174.7"/>
    <n v="9.6672944130571106E-2"/>
    <n v="160.80000000000001"/>
    <n v="164.9"/>
    <n v="169.9"/>
    <n v="163.19999999999999"/>
    <n v="166.6"/>
    <n v="166.4"/>
  </r>
  <r>
    <x v="1"/>
    <x v="9"/>
    <n v="1"/>
    <x v="9"/>
    <n v="152.19999999999999"/>
    <n v="202.1"/>
    <n v="180.1"/>
    <n v="160.4"/>
    <n v="171"/>
    <n v="156.5"/>
    <n v="203.6"/>
    <n v="163.80000000000001"/>
    <n v="121.3"/>
    <n v="169.8"/>
    <n v="156.6"/>
    <n v="179"/>
    <n v="170.3"/>
    <n v="3.7781840341255438E-2"/>
    <n v="196.4"/>
    <n v="164.7"/>
    <n v="148.5"/>
    <n v="162.19999999999999"/>
    <n v="164.5"/>
    <n v="161.6"/>
    <n v="-2.5331724969843285E-2"/>
    <n v="156.80000000000001"/>
    <n v="166.1"/>
    <n v="-4.9227246708643362E-2"/>
    <n v="152.69999999999999"/>
    <n v="158.4"/>
    <n v="161"/>
    <n v="162.80000000000001"/>
    <n v="158.6"/>
    <n v="165"/>
  </r>
  <r>
    <x v="2"/>
    <x v="9"/>
    <n v="1"/>
    <x v="9"/>
    <n v="149.5"/>
    <n v="198.7"/>
    <n v="178.8"/>
    <n v="160.5"/>
    <n v="184.7"/>
    <n v="153.69999999999999"/>
    <n v="174.3"/>
    <n v="163.9"/>
    <n v="120"/>
    <n v="172.1"/>
    <n v="164.3"/>
    <n v="177.3"/>
    <n v="166.4"/>
    <n v="-2.2900763358778657E-2"/>
    <n v="192.2"/>
    <n v="169.9"/>
    <n v="160.69999999999999"/>
    <n v="168.5"/>
    <n v="164.5"/>
    <n v="164.2"/>
    <n v="1.6089108910891055E-2"/>
    <n v="161.1"/>
    <n v="171.4"/>
    <n v="3.1908488862131316E-2"/>
    <n v="156.5"/>
    <n v="161.19999999999999"/>
    <n v="164.7"/>
    <n v="163"/>
    <n v="162.69999999999999"/>
    <n v="165.7"/>
  </r>
  <r>
    <x v="0"/>
    <x v="10"/>
    <n v="1"/>
    <x v="10"/>
    <n v="174"/>
    <n v="208.3"/>
    <n v="192.9"/>
    <n v="174.3"/>
    <n v="192.6"/>
    <n v="156.30000000000001"/>
    <n v="142.9"/>
    <n v="170.7"/>
    <n v="120.3"/>
    <n v="210.5"/>
    <n v="176.9"/>
    <n v="188.5"/>
    <n v="175"/>
    <n v="5.168269230769227E-2"/>
    <n v="196.9"/>
    <n v="189"/>
    <n v="186.3"/>
    <n v="188.6"/>
    <s v="NA"/>
    <n v="183.2"/>
    <n v="0.11571254567600488"/>
    <n v="177.2"/>
    <n v="184.7"/>
    <n v="7.7596266044340625E-2"/>
    <n v="168.2"/>
    <n v="171.8"/>
    <n v="177.8"/>
    <n v="178.4"/>
    <n v="176.5"/>
    <n v="177.8"/>
  </r>
  <r>
    <x v="1"/>
    <x v="10"/>
    <n v="1"/>
    <x v="10"/>
    <n v="173.3"/>
    <n v="215.2"/>
    <n v="197"/>
    <n v="175.2"/>
    <n v="178"/>
    <n v="160.5"/>
    <n v="175.3"/>
    <n v="171.2"/>
    <n v="122.7"/>
    <n v="204.3"/>
    <n v="163.69999999999999"/>
    <n v="194.3"/>
    <n v="179.5"/>
    <n v="2.5714285714285714E-2"/>
    <n v="201.6"/>
    <n v="178.7"/>
    <n v="165.3"/>
    <n v="176.6"/>
    <n v="172.1"/>
    <n v="180.1"/>
    <n v="-1.6921397379912634E-2"/>
    <n v="168"/>
    <n v="178.5"/>
    <n v="-3.3567948023822354E-2"/>
    <n v="159.5"/>
    <n v="167.8"/>
    <n v="171.8"/>
    <n v="178.8"/>
    <n v="168.9"/>
    <n v="174.9"/>
  </r>
  <r>
    <x v="2"/>
    <x v="10"/>
    <n v="1"/>
    <x v="10"/>
    <n v="173.8"/>
    <n v="210.7"/>
    <n v="194.5"/>
    <n v="174.6"/>
    <n v="187.2"/>
    <n v="158.30000000000001"/>
    <n v="153.9"/>
    <n v="170.9"/>
    <n v="121.1"/>
    <n v="208.4"/>
    <n v="171.4"/>
    <n v="191.2"/>
    <n v="176.7"/>
    <n v="-1.559888579387193E-2"/>
    <n v="198.2"/>
    <n v="184.9"/>
    <n v="177.6"/>
    <n v="183.8"/>
    <n v="172.1"/>
    <n v="182"/>
    <n v="1.0549694614103308E-2"/>
    <n v="172.9"/>
    <n v="182.3"/>
    <n v="2.1288515406162528E-2"/>
    <n v="163.6"/>
    <n v="169.5"/>
    <n v="174.3"/>
    <n v="178.6"/>
    <n v="172.8"/>
    <n v="176.5"/>
  </r>
  <r>
    <x v="0"/>
    <x v="0"/>
    <n v="2"/>
    <x v="11"/>
    <n v="109.2"/>
    <n v="108.7"/>
    <n v="110.2"/>
    <n v="105.4"/>
    <n v="106.7"/>
    <n v="104"/>
    <n v="102.4"/>
    <n v="105.9"/>
    <n v="105.7"/>
    <n v="103.1"/>
    <n v="105.1"/>
    <n v="107.7"/>
    <n v="106.3"/>
    <n v="-0.3984153933220147"/>
    <n v="105.6"/>
    <n v="107.1"/>
    <n v="106.3"/>
    <n v="107"/>
    <s v="NA"/>
    <n v="106.2"/>
    <n v="-0.41648351648351645"/>
    <n v="105.2"/>
    <n v="104.4"/>
    <n v="-0.42731760833790455"/>
    <n v="103.9"/>
    <n v="104"/>
    <n v="104.1"/>
    <n v="104.6"/>
    <n v="104.4"/>
    <n v="105.8"/>
  </r>
  <r>
    <x v="1"/>
    <x v="0"/>
    <n v="2"/>
    <x v="11"/>
    <n v="112.9"/>
    <n v="112.9"/>
    <n v="116.9"/>
    <n v="104"/>
    <n v="103.5"/>
    <n v="103.1"/>
    <n v="104.9"/>
    <n v="104.1"/>
    <n v="103.8"/>
    <n v="102.3"/>
    <n v="106"/>
    <n v="109"/>
    <n v="107.2"/>
    <n v="8.4666039510818969E-3"/>
    <n v="106"/>
    <n v="106.6"/>
    <n v="105.5"/>
    <n v="106.4"/>
    <n v="100.4"/>
    <n v="105.7"/>
    <n v="-4.7080979284369112E-3"/>
    <n v="105.2"/>
    <n v="104.7"/>
    <n v="2.8735632183907772E-3"/>
    <n v="104.4"/>
    <n v="103.3"/>
    <n v="103.7"/>
    <n v="104.3"/>
    <n v="104.3"/>
    <n v="104.7"/>
  </r>
  <r>
    <x v="2"/>
    <x v="0"/>
    <n v="2"/>
    <x v="11"/>
    <n v="110.4"/>
    <n v="110.2"/>
    <n v="112.8"/>
    <n v="104.9"/>
    <n v="105.5"/>
    <n v="103.6"/>
    <n v="103.2"/>
    <n v="105.3"/>
    <n v="105.1"/>
    <n v="102.8"/>
    <n v="105.5"/>
    <n v="108.3"/>
    <n v="106.6"/>
    <n v="-5.5970149253732138E-3"/>
    <n v="105.7"/>
    <n v="106.9"/>
    <n v="106"/>
    <n v="106.8"/>
    <n v="100.4"/>
    <n v="106"/>
    <n v="2.838221381267712E-3"/>
    <n v="105.2"/>
    <n v="104.5"/>
    <n v="-1.9102196752626823E-3"/>
    <n v="104.2"/>
    <n v="103.6"/>
    <n v="103.9"/>
    <n v="104.5"/>
    <n v="104.4"/>
    <n v="105.3"/>
  </r>
  <r>
    <x v="0"/>
    <x v="1"/>
    <n v="2"/>
    <x v="12"/>
    <n v="119.4"/>
    <n v="117.7"/>
    <n v="121.2"/>
    <n v="115"/>
    <n v="109"/>
    <n v="116.6"/>
    <n v="116"/>
    <n v="109.8"/>
    <n v="101.1"/>
    <n v="110.4"/>
    <n v="112.9"/>
    <n v="117.8"/>
    <n v="115.3"/>
    <n v="8.1613508442776761E-2"/>
    <n v="114.2"/>
    <n v="117.1"/>
    <n v="114.5"/>
    <n v="116.7"/>
    <s v="NA"/>
    <n v="113.2"/>
    <n v="6.7924528301886819E-2"/>
    <n v="112.9"/>
    <n v="110.9"/>
    <n v="6.1244019138756038E-2"/>
    <n v="110.8"/>
    <n v="109.9"/>
    <n v="112"/>
    <n v="108.7"/>
    <n v="110.9"/>
    <n v="114"/>
  </r>
  <r>
    <x v="1"/>
    <x v="1"/>
    <n v="2"/>
    <x v="12"/>
    <n v="121.9"/>
    <n v="122"/>
    <n v="124.5"/>
    <n v="115.2"/>
    <n v="102.5"/>
    <n v="114.1"/>
    <n v="111.5"/>
    <n v="108.2"/>
    <n v="95.4"/>
    <n v="113.5"/>
    <n v="112.1"/>
    <n v="119.9"/>
    <n v="115.2"/>
    <n v="-8.6730268863828553E-4"/>
    <n v="116.2"/>
    <n v="115.3"/>
    <n v="111.7"/>
    <n v="114.7"/>
    <n v="112.5"/>
    <n v="111.1"/>
    <n v="-1.8551236749116684E-2"/>
    <n v="112.6"/>
    <n v="110.4"/>
    <n v="-4.508566275924256E-3"/>
    <n v="111.3"/>
    <n v="110.3"/>
    <n v="111.6"/>
    <n v="108.7"/>
    <n v="111"/>
    <n v="113.1"/>
  </r>
  <r>
    <x v="2"/>
    <x v="1"/>
    <n v="2"/>
    <x v="12"/>
    <n v="120.2"/>
    <n v="119.2"/>
    <n v="122.5"/>
    <n v="115.1"/>
    <n v="106.6"/>
    <n v="115.4"/>
    <n v="114.5"/>
    <n v="109.3"/>
    <n v="99.2"/>
    <n v="111.4"/>
    <n v="112.6"/>
    <n v="118.8"/>
    <n v="115.3"/>
    <n v="8.6805555555550618E-4"/>
    <n v="114.7"/>
    <n v="116.4"/>
    <n v="113.3"/>
    <n v="115.9"/>
    <n v="112.5"/>
    <n v="112.4"/>
    <n v="1.1701170117011803E-2"/>
    <n v="112.8"/>
    <n v="110.7"/>
    <n v="2.7173913043478E-3"/>
    <n v="111.1"/>
    <n v="110.1"/>
    <n v="111.8"/>
    <n v="108.7"/>
    <n v="110.9"/>
    <n v="113.6"/>
  </r>
  <r>
    <x v="0"/>
    <x v="2"/>
    <n v="2"/>
    <x v="13"/>
    <n v="123.4"/>
    <n v="124.4"/>
    <n v="122.1"/>
    <n v="125.8"/>
    <n v="111.5"/>
    <n v="129.4"/>
    <n v="128.19999999999999"/>
    <n v="118.8"/>
    <n v="100"/>
    <n v="118.6"/>
    <n v="118.8"/>
    <n v="126.8"/>
    <n v="122.8"/>
    <n v="6.5047701647875114E-2"/>
    <n v="124.2"/>
    <n v="125.4"/>
    <n v="122.7"/>
    <n v="125"/>
    <s v="NA"/>
    <n v="120"/>
    <n v="6.7615658362989273E-2"/>
    <n v="119.6"/>
    <n v="117.7"/>
    <n v="6.3233965672990056E-2"/>
    <n v="110.9"/>
    <n v="114.8"/>
    <n v="118.7"/>
    <n v="110.8"/>
    <n v="115"/>
    <n v="120.6"/>
  </r>
  <r>
    <x v="1"/>
    <x v="2"/>
    <n v="2"/>
    <x v="13"/>
    <n v="124.3"/>
    <n v="126.5"/>
    <n v="119.5"/>
    <n v="125.6"/>
    <n v="104.9"/>
    <n v="121.6"/>
    <n v="131.80000000000001"/>
    <n v="125.1"/>
    <n v="95"/>
    <n v="127.7"/>
    <n v="116.8"/>
    <n v="128.6"/>
    <n v="123.7"/>
    <n v="7.3289902280130759E-3"/>
    <n v="128.1"/>
    <n v="121.3"/>
    <n v="116.5"/>
    <n v="120.6"/>
    <n v="118.1"/>
    <n v="114"/>
    <n v="-0.05"/>
    <n v="117.7"/>
    <n v="114.1"/>
    <n v="-3.0586236193712903E-2"/>
    <n v="106.8"/>
    <n v="114.9"/>
    <n v="120.4"/>
    <n v="111.7"/>
    <n v="113.2"/>
    <n v="118.7"/>
  </r>
  <r>
    <x v="2"/>
    <x v="2"/>
    <n v="2"/>
    <x v="13"/>
    <n v="123.7"/>
    <n v="125.1"/>
    <n v="121.1"/>
    <n v="125.7"/>
    <n v="109.1"/>
    <n v="125.8"/>
    <n v="129.4"/>
    <n v="120.9"/>
    <n v="98.3"/>
    <n v="121.6"/>
    <n v="118"/>
    <n v="127.6"/>
    <n v="123.1"/>
    <n v="-4.8504446240906106E-3"/>
    <n v="125.2"/>
    <n v="123.8"/>
    <n v="120.1"/>
    <n v="123.3"/>
    <n v="118.1"/>
    <n v="117.7"/>
    <n v="3.2456140350877218E-2"/>
    <n v="118.7"/>
    <n v="116.3"/>
    <n v="1.9281332164767774E-2"/>
    <n v="108.7"/>
    <n v="114.9"/>
    <n v="119.7"/>
    <n v="111.2"/>
    <n v="114.1"/>
    <n v="119.7"/>
  </r>
  <r>
    <x v="0"/>
    <x v="3"/>
    <n v="2"/>
    <x v="14"/>
    <n v="127.1"/>
    <n v="133.69999999999999"/>
    <n v="127.7"/>
    <n v="130.69999999999999"/>
    <n v="118.5"/>
    <n v="130.4"/>
    <n v="130.9"/>
    <n v="162.80000000000001"/>
    <n v="98.7"/>
    <n v="130.6"/>
    <n v="124.8"/>
    <n v="136.4"/>
    <n v="130.30000000000001"/>
    <n v="5.8489033306255218E-2"/>
    <n v="134.4"/>
    <n v="133.9"/>
    <n v="129.80000000000001"/>
    <n v="133.4"/>
    <s v="NA"/>
    <n v="127.5"/>
    <n v="8.3262531860662681E-2"/>
    <n v="127.1"/>
    <n v="124.3"/>
    <n v="6.878761822871883E-2"/>
    <n v="113.9"/>
    <n v="122.3"/>
    <n v="127.1"/>
    <n v="116.8"/>
    <n v="120.9"/>
    <n v="127.9"/>
  </r>
  <r>
    <x v="1"/>
    <x v="3"/>
    <n v="2"/>
    <x v="14"/>
    <n v="124.8"/>
    <n v="135.1"/>
    <n v="130.30000000000001"/>
    <n v="129.6"/>
    <n v="108.4"/>
    <n v="118.6"/>
    <n v="129.19999999999999"/>
    <n v="176.4"/>
    <n v="99.1"/>
    <n v="139.69999999999999"/>
    <n v="120.6"/>
    <n v="135.19999999999999"/>
    <n v="129.1"/>
    <n v="-9.2095165003838603E-3"/>
    <n v="140"/>
    <n v="126.2"/>
    <n v="120.1"/>
    <n v="125.3"/>
    <n v="124.4"/>
    <n v="116"/>
    <n v="-9.0196078431372548E-2"/>
    <n v="121.8"/>
    <n v="119.5"/>
    <n v="-3.8616251005631513E-2"/>
    <n v="109.1"/>
    <n v="118.8"/>
    <n v="126.3"/>
    <n v="116.2"/>
    <n v="117.2"/>
    <n v="123.8"/>
  </r>
  <r>
    <x v="2"/>
    <x v="3"/>
    <n v="2"/>
    <x v="14"/>
    <n v="126.4"/>
    <n v="134.19999999999999"/>
    <n v="128.69999999999999"/>
    <n v="130.30000000000001"/>
    <n v="114.8"/>
    <n v="124.9"/>
    <n v="130.30000000000001"/>
    <n v="167.4"/>
    <n v="98.8"/>
    <n v="133.6"/>
    <n v="123"/>
    <n v="135.80000000000001"/>
    <n v="129.9"/>
    <n v="6.1967467079783994E-3"/>
    <n v="135.9"/>
    <n v="130.9"/>
    <n v="125.8"/>
    <n v="130.19999999999999"/>
    <n v="124.4"/>
    <n v="123.1"/>
    <n v="6.1206896551724087E-2"/>
    <n v="124.6"/>
    <n v="122.5"/>
    <n v="2.5104602510460251E-2"/>
    <n v="111.4"/>
    <n v="120.3"/>
    <n v="126.6"/>
    <n v="116.6"/>
    <n v="119.1"/>
    <n v="126"/>
  </r>
  <r>
    <x v="0"/>
    <x v="4"/>
    <n v="2"/>
    <x v="15"/>
    <n v="133.30000000000001"/>
    <n v="138.30000000000001"/>
    <n v="129.30000000000001"/>
    <n v="137.19999999999999"/>
    <n v="122.1"/>
    <n v="138.69999999999999"/>
    <n v="119.1"/>
    <n v="156.9"/>
    <n v="116.2"/>
    <n v="136"/>
    <n v="129.4"/>
    <n v="144.4"/>
    <n v="133.6"/>
    <n v="2.8483448806774354E-2"/>
    <n v="143.69999999999999"/>
    <n v="140.9"/>
    <n v="135.80000000000001"/>
    <n v="140.19999999999999"/>
    <s v="NA"/>
    <n v="133.19999999999999"/>
    <n v="8.2047116165718886E-2"/>
    <n v="133.6"/>
    <n v="130.1"/>
    <n v="6.2040816326530565E-2"/>
    <n v="119.5"/>
    <n v="127.7"/>
    <n v="134.9"/>
    <n v="123.2"/>
    <n v="127"/>
    <n v="132.6"/>
  </r>
  <r>
    <x v="1"/>
    <x v="4"/>
    <n v="2"/>
    <x v="15"/>
    <n v="132.80000000000001"/>
    <n v="139.80000000000001"/>
    <n v="129.30000000000001"/>
    <n v="133.5"/>
    <n v="114.3"/>
    <n v="131.4"/>
    <n v="120.2"/>
    <n v="143.1"/>
    <n v="119.5"/>
    <n v="144"/>
    <n v="123.4"/>
    <n v="141.9"/>
    <n v="132.1"/>
    <n v="-1.1227544910179641E-2"/>
    <n v="146.30000000000001"/>
    <n v="130.5"/>
    <n v="122.5"/>
    <n v="129.30000000000001"/>
    <n v="130.5"/>
    <n v="119.2"/>
    <n v="-0.10510510510510501"/>
    <n v="125.3"/>
    <n v="122.9"/>
    <n v="-5.5342044581091383E-2"/>
    <n v="115.5"/>
    <n v="122.2"/>
    <n v="132.4"/>
    <n v="121.7"/>
    <n v="122.4"/>
    <n v="128.19999999999999"/>
  </r>
  <r>
    <x v="2"/>
    <x v="4"/>
    <n v="2"/>
    <x v="15"/>
    <n v="133.1"/>
    <n v="138.80000000000001"/>
    <n v="129.30000000000001"/>
    <n v="135.80000000000001"/>
    <n v="119.2"/>
    <n v="135.30000000000001"/>
    <n v="119.5"/>
    <n v="152.19999999999999"/>
    <n v="117.3"/>
    <n v="138.69999999999999"/>
    <n v="126.9"/>
    <n v="143.19999999999999"/>
    <n v="133"/>
    <n v="6.8130204390613605E-3"/>
    <n v="144.4"/>
    <n v="136.80000000000001"/>
    <n v="130.30000000000001"/>
    <n v="135.9"/>
    <n v="130.5"/>
    <n v="127.9"/>
    <n v="7.2986577181208073E-2"/>
    <n v="129.69999999999999"/>
    <n v="127.4"/>
    <n v="3.6615134255492267E-2"/>
    <n v="117.4"/>
    <n v="124.6"/>
    <n v="133.4"/>
    <n v="122.6"/>
    <n v="124.8"/>
    <n v="130.6"/>
  </r>
  <r>
    <x v="0"/>
    <x v="5"/>
    <n v="2"/>
    <x v="16"/>
    <n v="136.4"/>
    <n v="143.69999999999999"/>
    <n v="140.6"/>
    <n v="141.5"/>
    <n v="122.9"/>
    <n v="149.4"/>
    <n v="142.4"/>
    <n v="130.19999999999999"/>
    <n v="117.9"/>
    <n v="135.6"/>
    <n v="130.5"/>
    <n v="151.69999999999999"/>
    <n v="138.69999999999999"/>
    <n v="4.2857142857142774E-2"/>
    <n v="153.30000000000001"/>
    <n v="148.69999999999999"/>
    <n v="142.4"/>
    <n v="147.80000000000001"/>
    <s v="NA"/>
    <n v="142.4"/>
    <n v="0.11336982017200938"/>
    <n v="139.9"/>
    <n v="136.19999999999999"/>
    <n v="6.9073783359497515E-2"/>
    <n v="123.3"/>
    <n v="134.30000000000001"/>
    <n v="141.5"/>
    <n v="128.80000000000001"/>
    <n v="132.5"/>
    <n v="138.5"/>
  </r>
  <r>
    <x v="1"/>
    <x v="5"/>
    <n v="2"/>
    <x v="16"/>
    <n v="134.80000000000001"/>
    <n v="143"/>
    <n v="139.9"/>
    <n v="139.9"/>
    <n v="116.2"/>
    <n v="135.5"/>
    <n v="136.9"/>
    <n v="117"/>
    <n v="115.4"/>
    <n v="140.69999999999999"/>
    <n v="125.9"/>
    <n v="147.1"/>
    <n v="135.6"/>
    <n v="-2.23503965392934E-2"/>
    <n v="159.30000000000001"/>
    <n v="136.30000000000001"/>
    <n v="126.1"/>
    <n v="134.69999999999999"/>
    <n v="141.30000000000001"/>
    <n v="127.3"/>
    <n v="-0.10603932584269668"/>
    <n v="129.9"/>
    <n v="129.80000000000001"/>
    <n v="-4.6989720998531409E-2"/>
    <n v="117.4"/>
    <n v="126.5"/>
    <n v="137.19999999999999"/>
    <n v="126.2"/>
    <n v="126.5"/>
    <n v="134"/>
  </r>
  <r>
    <x v="2"/>
    <x v="5"/>
    <n v="2"/>
    <x v="16"/>
    <n v="135.9"/>
    <n v="143.5"/>
    <n v="140.30000000000001"/>
    <n v="140.9"/>
    <n v="120.4"/>
    <n v="142.9"/>
    <n v="140.5"/>
    <n v="125.8"/>
    <n v="117.1"/>
    <n v="137.30000000000001"/>
    <n v="128.6"/>
    <n v="149.6"/>
    <n v="137.6"/>
    <n v="1.4749262536873156E-2"/>
    <n v="154.9"/>
    <n v="143.80000000000001"/>
    <n v="135.6"/>
    <n v="142.6"/>
    <n v="141.30000000000001"/>
    <n v="136.69999999999999"/>
    <n v="7.3841319717203396E-2"/>
    <n v="135.19999999999999"/>
    <n v="133.80000000000001"/>
    <n v="3.0816640986132508E-2"/>
    <n v="120.2"/>
    <n v="129.9"/>
    <n v="139"/>
    <n v="127.7"/>
    <n v="129.6"/>
    <n v="136.4"/>
  </r>
  <r>
    <x v="0"/>
    <x v="6"/>
    <n v="2"/>
    <x v="17"/>
    <n v="136.80000000000001"/>
    <n v="153"/>
    <n v="139.1"/>
    <n v="142.5"/>
    <n v="124.1"/>
    <n v="135.80000000000001"/>
    <n v="128.69999999999999"/>
    <n v="121.5"/>
    <n v="108.3"/>
    <n v="139.19999999999999"/>
    <n v="137.4"/>
    <n v="156.19999999999999"/>
    <n v="137.19999999999999"/>
    <n v="-2.9069767441860881E-3"/>
    <n v="162.80000000000001"/>
    <n v="150.5"/>
    <n v="146.1"/>
    <n v="149.9"/>
    <s v="NA"/>
    <n v="145.30000000000001"/>
    <n v="6.2911485003657813E-2"/>
    <n v="150.1"/>
    <n v="149.9"/>
    <n v="0.12032884902840055"/>
    <n v="129.19999999999999"/>
    <n v="143.4"/>
    <n v="155.5"/>
    <n v="134.9"/>
    <n v="142.19999999999999"/>
    <n v="141"/>
  </r>
  <r>
    <x v="1"/>
    <x v="6"/>
    <n v="2"/>
    <x v="17"/>
    <n v="139.4"/>
    <n v="150.1"/>
    <n v="145.30000000000001"/>
    <n v="141.69999999999999"/>
    <n v="118.4"/>
    <n v="137"/>
    <n v="131.6"/>
    <n v="119.9"/>
    <n v="110.4"/>
    <n v="140.80000000000001"/>
    <n v="128.30000000000001"/>
    <n v="153.5"/>
    <n v="138"/>
    <n v="5.8309037900875467E-3"/>
    <n v="164.9"/>
    <n v="143.30000000000001"/>
    <n v="130.80000000000001"/>
    <n v="141.4"/>
    <n v="148.5"/>
    <n v="127.1"/>
    <n v="-0.12525808671713706"/>
    <n v="136.6"/>
    <n v="138.5"/>
    <n v="-7.6050700466978025E-2"/>
    <n v="119.2"/>
    <n v="132.19999999999999"/>
    <n v="146.6"/>
    <n v="133"/>
    <n v="132.4"/>
    <n v="138.6"/>
  </r>
  <r>
    <x v="2"/>
    <x v="6"/>
    <n v="2"/>
    <x v="17"/>
    <n v="137.6"/>
    <n v="152"/>
    <n v="141.5"/>
    <n v="142.19999999999999"/>
    <n v="122"/>
    <n v="136.4"/>
    <n v="129.69999999999999"/>
    <n v="121"/>
    <n v="109"/>
    <n v="139.69999999999999"/>
    <n v="133.6"/>
    <n v="154.9"/>
    <n v="137.5"/>
    <n v="-3.6231884057971015E-3"/>
    <n v="163.4"/>
    <n v="147.69999999999999"/>
    <n v="139.69999999999999"/>
    <n v="146.5"/>
    <n v="148.5"/>
    <n v="138.4"/>
    <n v="8.8906372934697178E-2"/>
    <n v="143.69999999999999"/>
    <n v="145.6"/>
    <n v="5.1263537906137142E-2"/>
    <n v="123.9"/>
    <n v="137.1"/>
    <n v="150.30000000000001"/>
    <n v="134.1"/>
    <n v="137.4"/>
    <n v="139.9"/>
  </r>
  <r>
    <x v="0"/>
    <x v="7"/>
    <n v="2"/>
    <x v="18"/>
    <n v="144.19999999999999"/>
    <n v="167.5"/>
    <n v="150.9"/>
    <n v="150.9"/>
    <n v="133.69999999999999"/>
    <n v="140.69999999999999"/>
    <n v="165.1"/>
    <n v="141.80000000000001"/>
    <n v="113.1"/>
    <n v="152.80000000000001"/>
    <n v="140.1"/>
    <n v="159.19999999999999"/>
    <n v="149.80000000000001"/>
    <n v="8.9454545454545537E-2"/>
    <n v="169.4"/>
    <n v="153"/>
    <n v="147.5"/>
    <n v="152.30000000000001"/>
    <s v="NA"/>
    <n v="152.30000000000001"/>
    <n v="0.10043352601156073"/>
    <n v="151.80000000000001"/>
    <n v="156.19999999999999"/>
    <n v="7.2802197802197766E-2"/>
    <n v="136"/>
    <n v="150.4"/>
    <n v="161.9"/>
    <n v="143.4"/>
    <n v="148.4"/>
    <n v="150.4"/>
  </r>
  <r>
    <x v="1"/>
    <x v="7"/>
    <n v="2"/>
    <x v="18"/>
    <n v="146.19999999999999"/>
    <n v="167.6"/>
    <n v="153.1"/>
    <n v="150.69999999999999"/>
    <n v="127.4"/>
    <n v="143.1"/>
    <n v="181.7"/>
    <n v="139.6"/>
    <n v="114.6"/>
    <n v="150.4"/>
    <n v="131.5"/>
    <n v="159"/>
    <n v="151.69999999999999"/>
    <n v="1.2683578104138699E-2"/>
    <n v="172"/>
    <n v="147.30000000000001"/>
    <n v="133.5"/>
    <n v="145.19999999999999"/>
    <n v="154.80000000000001"/>
    <n v="138.9"/>
    <n v="-8.7984241628365101E-2"/>
    <n v="140.4"/>
    <n v="144.4"/>
    <n v="-7.5544174135723327E-2"/>
    <n v="125.2"/>
    <n v="137.69999999999999"/>
    <n v="152.19999999999999"/>
    <n v="143.5"/>
    <n v="138.4"/>
    <n v="147.69999999999999"/>
  </r>
  <r>
    <x v="2"/>
    <x v="7"/>
    <n v="2"/>
    <x v="18"/>
    <n v="144.80000000000001"/>
    <n v="167.5"/>
    <n v="151.80000000000001"/>
    <n v="150.80000000000001"/>
    <n v="131.4"/>
    <n v="141.80000000000001"/>
    <n v="170.7"/>
    <n v="141.1"/>
    <n v="113.6"/>
    <n v="152"/>
    <n v="136.5"/>
    <n v="159.1"/>
    <n v="150.5"/>
    <n v="-7.9103493737639335E-3"/>
    <n v="170.1"/>
    <n v="150.80000000000001"/>
    <n v="141.69999999999999"/>
    <n v="149.5"/>
    <n v="154.80000000000001"/>
    <n v="147.19999999999999"/>
    <n v="5.975521958243328E-2"/>
    <n v="146.4"/>
    <n v="151.69999999999999"/>
    <n v="5.0554016620498493E-2"/>
    <n v="130.30000000000001"/>
    <n v="143.19999999999999"/>
    <n v="156.19999999999999"/>
    <n v="143.4"/>
    <n v="143.6"/>
    <n v="149.1"/>
  </r>
  <r>
    <x v="0"/>
    <x v="8"/>
    <n v="2"/>
    <x v="19"/>
    <n v="142.80000000000001"/>
    <n v="184"/>
    <n v="168"/>
    <n v="154.4"/>
    <n v="163"/>
    <n v="147.80000000000001"/>
    <n v="149.69999999999999"/>
    <n v="158.30000000000001"/>
    <n v="111.8"/>
    <n v="165"/>
    <n v="160"/>
    <n v="165.8"/>
    <n v="154.69999999999999"/>
    <n v="2.790697674418597E-2"/>
    <n v="186.5"/>
    <n v="159.1"/>
    <n v="153.9"/>
    <n v="158.4"/>
    <s v="NA"/>
    <n v="154.4"/>
    <n v="4.891304347826099E-2"/>
    <n v="154.80000000000001"/>
    <n v="164.3"/>
    <n v="8.3058668424522239E-2"/>
    <n v="150.19999999999999"/>
    <n v="157"/>
    <n v="163.6"/>
    <n v="155.19999999999999"/>
    <n v="157.19999999999999"/>
    <n v="156.69999999999999"/>
  </r>
  <r>
    <x v="1"/>
    <x v="8"/>
    <n v="2"/>
    <x v="19"/>
    <n v="147.6"/>
    <n v="191.2"/>
    <n v="169.9"/>
    <n v="155.1"/>
    <n v="151.4"/>
    <n v="154"/>
    <n v="180.2"/>
    <n v="159.80000000000001"/>
    <n v="114.9"/>
    <n v="162.5"/>
    <n v="149.19999999999999"/>
    <n v="169.4"/>
    <n v="160.80000000000001"/>
    <n v="3.9431157078216053E-2"/>
    <n v="193.3"/>
    <n v="154.19999999999999"/>
    <n v="138.19999999999999"/>
    <n v="151.80000000000001"/>
    <n v="159.80000000000001"/>
    <n v="149.1"/>
    <n v="-3.4326424870466395E-2"/>
    <n v="146.5"/>
    <n v="156.30000000000001"/>
    <n v="-4.8691418137553254E-2"/>
    <n v="140.5"/>
    <n v="147.30000000000001"/>
    <n v="156.6"/>
    <n v="156.69999999999999"/>
    <n v="149.30000000000001"/>
    <n v="156.5"/>
  </r>
  <r>
    <x v="2"/>
    <x v="8"/>
    <n v="2"/>
    <x v="19"/>
    <n v="144.30000000000001"/>
    <n v="186.5"/>
    <n v="168.7"/>
    <n v="154.69999999999999"/>
    <n v="158.69999999999999"/>
    <n v="150.69999999999999"/>
    <n v="160"/>
    <n v="158.80000000000001"/>
    <n v="112.8"/>
    <n v="164.2"/>
    <n v="155.5"/>
    <n v="167.5"/>
    <n v="156.9"/>
    <n v="-2.4253731343283617E-2"/>
    <n v="188.3"/>
    <n v="157.19999999999999"/>
    <n v="147.4"/>
    <n v="155.80000000000001"/>
    <n v="159.80000000000001"/>
    <n v="152.4"/>
    <n v="2.213279678068418E-2"/>
    <n v="150.9"/>
    <n v="161.30000000000001"/>
    <n v="3.1989763275751759E-2"/>
    <n v="145.1"/>
    <n v="151.5"/>
    <n v="159.5"/>
    <n v="155.80000000000001"/>
    <n v="153.4"/>
    <n v="156.6"/>
  </r>
  <r>
    <x v="0"/>
    <x v="9"/>
    <n v="2"/>
    <x v="20"/>
    <n v="148.80000000000001"/>
    <n v="198.1"/>
    <n v="175.5"/>
    <n v="160.69999999999999"/>
    <n v="192.6"/>
    <n v="151.4"/>
    <n v="155.19999999999999"/>
    <n v="163.9"/>
    <n v="118.1"/>
    <n v="175.4"/>
    <n v="170.5"/>
    <n v="176.3"/>
    <n v="163.9"/>
    <n v="4.4614404079031229E-2"/>
    <n v="191.5"/>
    <n v="174.1"/>
    <n v="171"/>
    <n v="173.7"/>
    <s v="NA"/>
    <n v="167.4"/>
    <n v="9.8425196850393692E-2"/>
    <n v="165.7"/>
    <n v="175.3"/>
    <n v="8.6794792312461247E-2"/>
    <n v="161.19999999999999"/>
    <n v="165.5"/>
    <n v="170.3"/>
    <n v="164.5"/>
    <n v="167.3"/>
    <n v="166.7"/>
  </r>
  <r>
    <x v="1"/>
    <x v="9"/>
    <n v="2"/>
    <x v="20"/>
    <n v="152.5"/>
    <n v="205.2"/>
    <n v="176.4"/>
    <n v="160.6"/>
    <n v="171.5"/>
    <n v="156.4"/>
    <n v="198"/>
    <n v="163.19999999999999"/>
    <n v="120.6"/>
    <n v="172.2"/>
    <n v="156.69999999999999"/>
    <n v="180"/>
    <n v="170.2"/>
    <n v="3.8438071995118867E-2"/>
    <n v="196.5"/>
    <n v="165.7"/>
    <n v="150.4"/>
    <n v="163.4"/>
    <n v="165.5"/>
    <n v="163"/>
    <n v="-2.6284348864994058E-2"/>
    <n v="157.4"/>
    <n v="167.2"/>
    <n v="-4.6206503137478733E-2"/>
    <n v="153.1"/>
    <n v="159.5"/>
    <n v="162"/>
    <n v="164.2"/>
    <n v="159.4"/>
    <n v="165.5"/>
  </r>
  <r>
    <x v="2"/>
    <x v="9"/>
    <n v="2"/>
    <x v="20"/>
    <n v="150"/>
    <n v="200.6"/>
    <n v="175.8"/>
    <n v="160.69999999999999"/>
    <n v="184.9"/>
    <n v="153.69999999999999"/>
    <n v="169.7"/>
    <n v="163.69999999999999"/>
    <n v="118.9"/>
    <n v="174.3"/>
    <n v="164.7"/>
    <n v="178"/>
    <n v="166.2"/>
    <n v="-2.3501762632197415E-2"/>
    <n v="192.8"/>
    <n v="170.8"/>
    <n v="162.4"/>
    <n v="169.6"/>
    <n v="165.5"/>
    <n v="165.7"/>
    <n v="1.6564417177914039E-2"/>
    <n v="161.80000000000001"/>
    <n v="172.2"/>
    <n v="2.9904306220095697E-2"/>
    <n v="156.9"/>
    <n v="162.1"/>
    <n v="165.4"/>
    <n v="164.4"/>
    <n v="163.5"/>
    <n v="166.1"/>
  </r>
  <r>
    <x v="0"/>
    <x v="10"/>
    <n v="2"/>
    <x v="21"/>
    <n v="174.2"/>
    <n v="205.2"/>
    <n v="173.9"/>
    <n v="177"/>
    <n v="183.4"/>
    <n v="167.2"/>
    <n v="140.9"/>
    <n v="170.4"/>
    <n v="119.1"/>
    <n v="212.1"/>
    <n v="177.6"/>
    <n v="189.9"/>
    <n v="174.8"/>
    <n v="5.1744885679903874E-2"/>
    <n v="198.3"/>
    <n v="190"/>
    <n v="187"/>
    <n v="189.6"/>
    <s v="NA"/>
    <n v="181.6"/>
    <n v="9.5956547978274034E-2"/>
    <n v="178.6"/>
    <n v="186.6"/>
    <n v="8.3623693379790975E-2"/>
    <n v="169"/>
    <n v="172.8"/>
    <n v="178.5"/>
    <n v="180.7"/>
    <n v="177.9"/>
    <n v="178"/>
  </r>
  <r>
    <x v="1"/>
    <x v="10"/>
    <n v="2"/>
    <x v="21"/>
    <n v="174.7"/>
    <n v="212.2"/>
    <n v="177.2"/>
    <n v="177.9"/>
    <n v="172.2"/>
    <n v="172.1"/>
    <n v="175.8"/>
    <n v="172.2"/>
    <n v="121.9"/>
    <n v="204.8"/>
    <n v="164.9"/>
    <n v="196.6"/>
    <n v="180.7"/>
    <n v="3.3752860411899184E-2"/>
    <n v="202.7"/>
    <n v="180.3"/>
    <n v="167"/>
    <n v="178.2"/>
    <n v="173.5"/>
    <n v="182.8"/>
    <n v="6.6079295154185961E-3"/>
    <n v="169.2"/>
    <n v="180.8"/>
    <n v="-3.1082529474812343E-2"/>
    <n v="159.80000000000001"/>
    <n v="168.4"/>
    <n v="172.5"/>
    <n v="181.4"/>
    <n v="170"/>
    <n v="176.3"/>
  </r>
  <r>
    <x v="2"/>
    <x v="10"/>
    <n v="2"/>
    <x v="21"/>
    <n v="174.4"/>
    <n v="207.7"/>
    <n v="175.2"/>
    <n v="177.3"/>
    <n v="179.3"/>
    <n v="169.5"/>
    <n v="152.69999999999999"/>
    <n v="171"/>
    <n v="120"/>
    <n v="209.7"/>
    <n v="172.3"/>
    <n v="193"/>
    <n v="177"/>
    <n v="-2.0475926950747032E-2"/>
    <n v="199.5"/>
    <n v="186.2"/>
    <n v="178.7"/>
    <n v="185.1"/>
    <n v="173.5"/>
    <n v="182.1"/>
    <n v="-3.8293216630197868E-3"/>
    <n v="174.2"/>
    <n v="184.4"/>
    <n v="1.991150442477873E-2"/>
    <n v="164.2"/>
    <n v="170.3"/>
    <n v="175"/>
    <n v="181"/>
    <n v="174.1"/>
    <n v="177.2"/>
  </r>
  <r>
    <x v="0"/>
    <x v="0"/>
    <n v="3"/>
    <x v="22"/>
    <n v="110.2"/>
    <n v="108.8"/>
    <n v="109.9"/>
    <n v="105.6"/>
    <n v="106.2"/>
    <n v="105.7"/>
    <n v="101.4"/>
    <n v="105.7"/>
    <n v="105"/>
    <n v="103.3"/>
    <n v="105.6"/>
    <n v="108.2"/>
    <n v="106.6"/>
    <n v="-0.3977401129943503"/>
    <n v="106.5"/>
    <n v="107.6"/>
    <n v="106.8"/>
    <n v="107.5"/>
    <s v="NA"/>
    <n v="106.1"/>
    <n v="-0.4173531026908292"/>
    <n v="105.6"/>
    <n v="104.7"/>
    <n v="-0.43221258134490237"/>
    <n v="104.6"/>
    <n v="104"/>
    <n v="104.3"/>
    <n v="104.3"/>
    <n v="104.6"/>
    <n v="106"/>
  </r>
  <r>
    <x v="1"/>
    <x v="0"/>
    <n v="3"/>
    <x v="22"/>
    <n v="113.9"/>
    <n v="111.4"/>
    <n v="113.2"/>
    <n v="104.3"/>
    <n v="102.7"/>
    <n v="104.9"/>
    <n v="103.8"/>
    <n v="103.5"/>
    <n v="102.6"/>
    <n v="102.4"/>
    <n v="107"/>
    <n v="109.8"/>
    <n v="107.3"/>
    <n v="6.5666041275797647E-3"/>
    <n v="106.8"/>
    <n v="107.2"/>
    <n v="106"/>
    <n v="107"/>
    <n v="100.4"/>
    <n v="106"/>
    <n v="-9.4250706880296255E-4"/>
    <n v="105.7"/>
    <n v="105.2"/>
    <n v="4.7755491881566383E-3"/>
    <n v="105.5"/>
    <n v="103.5"/>
    <n v="103.8"/>
    <n v="104.2"/>
    <n v="104.9"/>
    <n v="105"/>
  </r>
  <r>
    <x v="2"/>
    <x v="0"/>
    <n v="3"/>
    <x v="22"/>
    <n v="111.4"/>
    <n v="109.7"/>
    <n v="111.2"/>
    <n v="105.1"/>
    <n v="104.9"/>
    <n v="105.3"/>
    <n v="102.2"/>
    <n v="105"/>
    <n v="104.2"/>
    <n v="103"/>
    <n v="106.2"/>
    <n v="108.9"/>
    <n v="106.9"/>
    <n v="-3.7278657968312346E-3"/>
    <n v="106.6"/>
    <n v="107.4"/>
    <n v="106.5"/>
    <n v="107.3"/>
    <n v="100.4"/>
    <n v="106.1"/>
    <n v="9.4339622641504068E-4"/>
    <n v="105.6"/>
    <n v="104.9"/>
    <n v="-2.8517110266159424E-3"/>
    <n v="105.1"/>
    <n v="103.7"/>
    <n v="104"/>
    <n v="104.3"/>
    <n v="104.7"/>
    <n v="105.5"/>
  </r>
  <r>
    <x v="0"/>
    <x v="1"/>
    <n v="3"/>
    <x v="23"/>
    <n v="120.1"/>
    <n v="118.1"/>
    <n v="120.7"/>
    <n v="116.1"/>
    <n v="109.3"/>
    <n v="119.6"/>
    <n v="117.9"/>
    <n v="110.2"/>
    <n v="101.2"/>
    <n v="110.7"/>
    <n v="113"/>
    <n v="118.3"/>
    <n v="116.2"/>
    <n v="8.6997193638914838E-2"/>
    <n v="114.6"/>
    <n v="117.5"/>
    <n v="114.9"/>
    <n v="117.2"/>
    <s v="NA"/>
    <n v="113.4"/>
    <n v="6.8803016022620275E-2"/>
    <n v="113.4"/>
    <n v="111.4"/>
    <n v="6.196377502383222E-2"/>
    <n v="111.2"/>
    <n v="110.2"/>
    <n v="112.4"/>
    <n v="108.9"/>
    <n v="111.3"/>
    <n v="114.6"/>
  </r>
  <r>
    <x v="1"/>
    <x v="1"/>
    <n v="3"/>
    <x v="23"/>
    <n v="122.1"/>
    <n v="121.4"/>
    <n v="121.5"/>
    <n v="116.2"/>
    <n v="102.8"/>
    <n v="117.7"/>
    <n v="113.3"/>
    <n v="108.9"/>
    <n v="96.3"/>
    <n v="114.1"/>
    <n v="112.2"/>
    <n v="120.5"/>
    <n v="116"/>
    <n v="-1.7211703958692154E-3"/>
    <n v="116.7"/>
    <n v="115.8"/>
    <n v="112.1"/>
    <n v="115.2"/>
    <n v="113.2"/>
    <n v="110.9"/>
    <n v="-2.2045855379188711E-2"/>
    <n v="113"/>
    <n v="110.8"/>
    <n v="-5.3859964093358036E-3"/>
    <n v="111.6"/>
    <n v="110.9"/>
    <n v="111.8"/>
    <n v="109.2"/>
    <n v="111.4"/>
    <n v="113.7"/>
  </r>
  <r>
    <x v="2"/>
    <x v="1"/>
    <n v="3"/>
    <x v="23"/>
    <n v="120.7"/>
    <n v="119.3"/>
    <n v="121"/>
    <n v="116.1"/>
    <n v="106.9"/>
    <n v="118.7"/>
    <n v="116.3"/>
    <n v="109.8"/>
    <n v="99.6"/>
    <n v="111.8"/>
    <n v="112.7"/>
    <n v="119.3"/>
    <n v="116.1"/>
    <n v="8.6206896551719236E-4"/>
    <n v="115.2"/>
    <n v="116.8"/>
    <n v="113.7"/>
    <n v="116.4"/>
    <n v="113.2"/>
    <n v="112.5"/>
    <n v="1.4427412082957567E-2"/>
    <n v="113.2"/>
    <n v="111.2"/>
    <n v="3.6101083032491488E-3"/>
    <n v="111.4"/>
    <n v="110.6"/>
    <n v="112"/>
    <n v="109"/>
    <n v="111.3"/>
    <n v="114.2"/>
  </r>
  <r>
    <x v="0"/>
    <x v="2"/>
    <n v="3"/>
    <x v="24"/>
    <n v="123.3"/>
    <n v="124.7"/>
    <n v="118.9"/>
    <n v="126"/>
    <n v="111.8"/>
    <n v="130.9"/>
    <n v="128"/>
    <n v="119.9"/>
    <n v="98.9"/>
    <n v="119.4"/>
    <n v="118.9"/>
    <n v="127.7"/>
    <n v="123.1"/>
    <n v="6.0292850990525414E-2"/>
    <n v="124.7"/>
    <n v="126"/>
    <n v="122.9"/>
    <n v="125.5"/>
    <s v="NA"/>
    <n v="120.6"/>
    <n v="7.1999999999999953E-2"/>
    <n v="120.2"/>
    <n v="118.2"/>
    <n v="6.2949640287769781E-2"/>
    <n v="111.6"/>
    <n v="115.5"/>
    <n v="119.4"/>
    <n v="110.8"/>
    <n v="115.5"/>
    <n v="121.1"/>
  </r>
  <r>
    <x v="1"/>
    <x v="2"/>
    <n v="3"/>
    <x v="24"/>
    <n v="124"/>
    <n v="126.7"/>
    <n v="113.5"/>
    <n v="125.9"/>
    <n v="104.8"/>
    <n v="123.8"/>
    <n v="131.4"/>
    <n v="127.2"/>
    <n v="93.2"/>
    <n v="127.4"/>
    <n v="117"/>
    <n v="129.19999999999999"/>
    <n v="123.9"/>
    <n v="6.4987814784728789E-3"/>
    <n v="128.80000000000001"/>
    <n v="121.7"/>
    <n v="116.9"/>
    <n v="120.9"/>
    <n v="118.6"/>
    <n v="114.4"/>
    <n v="-5.1409618573797583E-2"/>
    <n v="118"/>
    <n v="114.3"/>
    <n v="-3.2994923857868071E-2"/>
    <n v="108.4"/>
    <n v="115.4"/>
    <n v="120.6"/>
    <n v="111.3"/>
    <n v="113.8"/>
    <n v="119.1"/>
  </r>
  <r>
    <x v="2"/>
    <x v="2"/>
    <n v="3"/>
    <x v="24"/>
    <n v="123.5"/>
    <n v="125.4"/>
    <n v="116.8"/>
    <n v="126"/>
    <n v="109.2"/>
    <n v="127.6"/>
    <n v="129.19999999999999"/>
    <n v="122.4"/>
    <n v="97"/>
    <n v="122.1"/>
    <n v="118.1"/>
    <n v="128.4"/>
    <n v="123.4"/>
    <n v="-4.0355125100887809E-3"/>
    <n v="125.8"/>
    <n v="124.3"/>
    <n v="120.4"/>
    <n v="123.7"/>
    <n v="118.6"/>
    <n v="118.3"/>
    <n v="3.4090909090909012E-2"/>
    <n v="119.2"/>
    <n v="116.7"/>
    <n v="2.0997375328084041E-2"/>
    <n v="109.9"/>
    <n v="115.4"/>
    <n v="120.1"/>
    <n v="111"/>
    <n v="114.7"/>
    <n v="120.2"/>
  </r>
  <r>
    <x v="0"/>
    <x v="3"/>
    <n v="3"/>
    <x v="25"/>
    <n v="127.3"/>
    <n v="134.4"/>
    <n v="125.1"/>
    <n v="130.5"/>
    <n v="118.3"/>
    <n v="131.69999999999999"/>
    <n v="130.69999999999999"/>
    <n v="161.19999999999999"/>
    <n v="100.4"/>
    <n v="130.80000000000001"/>
    <n v="124.9"/>
    <n v="137"/>
    <n v="130.4"/>
    <n v="5.6726094003241488E-2"/>
    <n v="135"/>
    <n v="134.4"/>
    <n v="130.19999999999999"/>
    <n v="133.80000000000001"/>
    <s v="NA"/>
    <n v="127"/>
    <n v="7.3541842772612026E-2"/>
    <n v="127.7"/>
    <n v="124.8"/>
    <n v="6.9408740359897123E-2"/>
    <n v="113.6"/>
    <n v="122.5"/>
    <n v="127.5"/>
    <n v="117.4"/>
    <n v="121.1"/>
    <n v="128"/>
  </r>
  <r>
    <x v="1"/>
    <x v="3"/>
    <n v="3"/>
    <x v="25"/>
    <n v="124.8"/>
    <n v="136.30000000000001"/>
    <n v="123.7"/>
    <n v="129.69999999999999"/>
    <n v="107.9"/>
    <n v="119.9"/>
    <n v="128.1"/>
    <n v="170.3"/>
    <n v="101.8"/>
    <n v="140.1"/>
    <n v="120.7"/>
    <n v="135.4"/>
    <n v="128.9"/>
    <n v="-1.1503067484662576E-2"/>
    <n v="140.6"/>
    <n v="126.4"/>
    <n v="120.3"/>
    <n v="125.5"/>
    <n v="124.9"/>
    <n v="114.8"/>
    <n v="-9.6062992125984278E-2"/>
    <n v="122.3"/>
    <n v="119.7"/>
    <n v="-4.0865384615384567E-2"/>
    <n v="108.5"/>
    <n v="119.1"/>
    <n v="126.4"/>
    <n v="117.1"/>
    <n v="117.3"/>
    <n v="123.8"/>
  </r>
  <r>
    <x v="2"/>
    <x v="3"/>
    <n v="3"/>
    <x v="25"/>
    <n v="126.5"/>
    <n v="135.1"/>
    <n v="124.6"/>
    <n v="130.19999999999999"/>
    <n v="114.5"/>
    <n v="126.2"/>
    <n v="129.80000000000001"/>
    <n v="164.3"/>
    <n v="100.9"/>
    <n v="133.9"/>
    <n v="123.1"/>
    <n v="136.30000000000001"/>
    <n v="129.80000000000001"/>
    <n v="6.9821567106284378E-3"/>
    <n v="136.5"/>
    <n v="131.30000000000001"/>
    <n v="126.1"/>
    <n v="130.5"/>
    <n v="124.9"/>
    <n v="122.4"/>
    <n v="6.6202090592334575E-2"/>
    <n v="125.1"/>
    <n v="122.9"/>
    <n v="2.6733500417710967E-2"/>
    <n v="110.9"/>
    <n v="120.6"/>
    <n v="126.9"/>
    <n v="117.3"/>
    <n v="119.3"/>
    <n v="126"/>
  </r>
  <r>
    <x v="0"/>
    <x v="4"/>
    <n v="3"/>
    <x v="26"/>
    <n v="133.6"/>
    <n v="138.80000000000001"/>
    <n v="128.80000000000001"/>
    <n v="137.19999999999999"/>
    <n v="121.6"/>
    <n v="139.69999999999999"/>
    <n v="119.7"/>
    <n v="148"/>
    <n v="116.9"/>
    <n v="135.6"/>
    <n v="129.80000000000001"/>
    <n v="145.4"/>
    <n v="133.4"/>
    <n v="2.7734976887519216E-2"/>
    <n v="144.19999999999999"/>
    <n v="141.6"/>
    <n v="136.19999999999999"/>
    <n v="140.80000000000001"/>
    <s v="NA"/>
    <n v="134.19999999999999"/>
    <n v="9.6405228758169786E-2"/>
    <n v="134.1"/>
    <n v="130.6"/>
    <n v="6.2652563059397787E-2"/>
    <n v="119.8"/>
    <n v="128.30000000000001"/>
    <n v="135.19999999999999"/>
    <n v="123.3"/>
    <n v="127.4"/>
    <n v="132.80000000000001"/>
  </r>
  <r>
    <x v="1"/>
    <x v="4"/>
    <n v="3"/>
    <x v="26"/>
    <n v="132.69999999999999"/>
    <n v="139.4"/>
    <n v="128.4"/>
    <n v="134.9"/>
    <n v="114"/>
    <n v="136.80000000000001"/>
    <n v="122.2"/>
    <n v="135.80000000000001"/>
    <n v="120.3"/>
    <n v="142.6"/>
    <n v="123.6"/>
    <n v="142.4"/>
    <n v="132.6"/>
    <n v="-5.9970014992504596E-3"/>
    <n v="147.5"/>
    <n v="130.80000000000001"/>
    <n v="122.8"/>
    <n v="129.6"/>
    <n v="131.1"/>
    <n v="120.8"/>
    <n v="-9.9850968703427662E-2"/>
    <n v="125.6"/>
    <n v="123.1"/>
    <n v="-5.7427258805513019E-2"/>
    <n v="115.6"/>
    <n v="122.4"/>
    <n v="132.80000000000001"/>
    <n v="121.7"/>
    <n v="122.6"/>
    <n v="128.69999999999999"/>
  </r>
  <r>
    <x v="2"/>
    <x v="4"/>
    <n v="3"/>
    <x v="26"/>
    <n v="133.30000000000001"/>
    <n v="139"/>
    <n v="128.6"/>
    <n v="136.30000000000001"/>
    <n v="118.8"/>
    <n v="138.30000000000001"/>
    <n v="120.5"/>
    <n v="143.9"/>
    <n v="118"/>
    <n v="137.9"/>
    <n v="127.2"/>
    <n v="144"/>
    <n v="133.1"/>
    <n v="3.770739064856712E-3"/>
    <n v="145.1"/>
    <n v="137.30000000000001"/>
    <n v="130.6"/>
    <n v="136.4"/>
    <n v="131.1"/>
    <n v="129.1"/>
    <n v="6.8708609271523155E-2"/>
    <n v="130.1"/>
    <n v="127.8"/>
    <n v="3.8180341186027644E-2"/>
    <n v="117.6"/>
    <n v="125"/>
    <n v="133.80000000000001"/>
    <n v="122.6"/>
    <n v="125.1"/>
    <n v="130.9"/>
  </r>
  <r>
    <x v="0"/>
    <x v="5"/>
    <n v="3"/>
    <x v="27"/>
    <n v="136.80000000000001"/>
    <n v="143.80000000000001"/>
    <n v="140"/>
    <n v="142"/>
    <n v="123.2"/>
    <n v="152.9"/>
    <n v="138"/>
    <n v="129.30000000000001"/>
    <n v="117.1"/>
    <n v="136.30000000000001"/>
    <n v="131.19999999999999"/>
    <n v="152.80000000000001"/>
    <n v="138.6"/>
    <n v="4.1322314049586778E-2"/>
    <n v="155.1"/>
    <n v="149.19999999999999"/>
    <n v="143"/>
    <n v="148.30000000000001"/>
    <s v="NA"/>
    <n v="142.6"/>
    <n v="0.104570100697134"/>
    <n v="139.9"/>
    <n v="136.69999999999999"/>
    <n v="6.9640062597809013E-2"/>
    <n v="124.6"/>
    <n v="135.1"/>
    <n v="142.69999999999999"/>
    <n v="129.30000000000001"/>
    <n v="133.30000000000001"/>
    <n v="138.69999999999999"/>
  </r>
  <r>
    <x v="1"/>
    <x v="5"/>
    <n v="3"/>
    <x v="27"/>
    <n v="135"/>
    <n v="143.1"/>
    <n v="135.5"/>
    <n v="139.9"/>
    <n v="116.5"/>
    <n v="138.5"/>
    <n v="128"/>
    <n v="115.5"/>
    <n v="114.2"/>
    <n v="140.69999999999999"/>
    <n v="126.2"/>
    <n v="147.6"/>
    <n v="134.80000000000001"/>
    <n v="-2.7417027417027295E-2"/>
    <n v="159.69999999999999"/>
    <n v="136.69999999999999"/>
    <n v="126.7"/>
    <n v="135.19999999999999"/>
    <n v="142"/>
    <n v="126.4"/>
    <n v="-0.1136044880785413"/>
    <n v="130.80000000000001"/>
    <n v="130.5"/>
    <n v="-4.5354791514264733E-2"/>
    <n v="117.8"/>
    <n v="126.8"/>
    <n v="137.80000000000001"/>
    <n v="126.7"/>
    <n v="127.1"/>
    <n v="134"/>
  </r>
  <r>
    <x v="2"/>
    <x v="5"/>
    <n v="3"/>
    <x v="27"/>
    <n v="136.19999999999999"/>
    <n v="143.6"/>
    <n v="138.30000000000001"/>
    <n v="141.19999999999999"/>
    <n v="120.7"/>
    <n v="146.19999999999999"/>
    <n v="134.6"/>
    <n v="124.6"/>
    <n v="116.1"/>
    <n v="137.80000000000001"/>
    <n v="129.1"/>
    <n v="150.4"/>
    <n v="137.19999999999999"/>
    <n v="1.7804154302670454E-2"/>
    <n v="156.30000000000001"/>
    <n v="144.30000000000001"/>
    <n v="136.19999999999999"/>
    <n v="143.1"/>
    <n v="142"/>
    <n v="136.5"/>
    <n v="7.9905063291139194E-2"/>
    <n v="135.6"/>
    <n v="134.30000000000001"/>
    <n v="2.9118773946360241E-2"/>
    <n v="121"/>
    <n v="130.4"/>
    <n v="139.80000000000001"/>
    <n v="128.19999999999999"/>
    <n v="130.30000000000001"/>
    <n v="136.5"/>
  </r>
  <r>
    <x v="0"/>
    <x v="6"/>
    <n v="3"/>
    <x v="28"/>
    <n v="136.9"/>
    <n v="154.1"/>
    <n v="138.69999999999999"/>
    <n v="142.5"/>
    <n v="124.1"/>
    <n v="136.1"/>
    <n v="128.19999999999999"/>
    <n v="122.3"/>
    <n v="108.3"/>
    <n v="138.9"/>
    <n v="137.4"/>
    <n v="156.4"/>
    <n v="137.30000000000001"/>
    <n v="7.2886297376109871E-4"/>
    <n v="162.9"/>
    <n v="150.80000000000001"/>
    <n v="146.1"/>
    <n v="150.1"/>
    <s v="NA"/>
    <n v="146.4"/>
    <n v="7.2527472527472575E-2"/>
    <n v="150"/>
    <n v="150.4"/>
    <n v="0.11988086373790018"/>
    <n v="129.9"/>
    <n v="143.80000000000001"/>
    <n v="155.5"/>
    <n v="134"/>
    <n v="142.4"/>
    <n v="141.19999999999999"/>
  </r>
  <r>
    <x v="1"/>
    <x v="6"/>
    <n v="3"/>
    <x v="28"/>
    <n v="139.69999999999999"/>
    <n v="151.1"/>
    <n v="142.9"/>
    <n v="141.9"/>
    <n v="118.4"/>
    <n v="139.4"/>
    <n v="141.19999999999999"/>
    <n v="120.7"/>
    <n v="110.4"/>
    <n v="140.69999999999999"/>
    <n v="128.5"/>
    <n v="153.9"/>
    <n v="139.6"/>
    <n v="1.6751638747268628E-2"/>
    <n v="165.3"/>
    <n v="143.5"/>
    <n v="131.19999999999999"/>
    <n v="141.6"/>
    <n v="149"/>
    <n v="128.80000000000001"/>
    <n v="-0.12021857923497263"/>
    <n v="136.80000000000001"/>
    <n v="139.19999999999999"/>
    <n v="-7.4468085106383086E-2"/>
    <n v="119.9"/>
    <n v="133"/>
    <n v="146.69999999999999"/>
    <n v="132.5"/>
    <n v="132.80000000000001"/>
    <n v="139.5"/>
  </r>
  <r>
    <x v="2"/>
    <x v="6"/>
    <n v="3"/>
    <x v="28"/>
    <n v="137.80000000000001"/>
    <n v="153"/>
    <n v="140.30000000000001"/>
    <n v="142.30000000000001"/>
    <n v="122"/>
    <n v="137.6"/>
    <n v="132.6"/>
    <n v="121.8"/>
    <n v="109"/>
    <n v="139.5"/>
    <n v="133.69999999999999"/>
    <n v="155.19999999999999"/>
    <n v="138.1"/>
    <n v="-1.0744985673352437E-2"/>
    <n v="163.5"/>
    <n v="147.9"/>
    <n v="139.9"/>
    <n v="146.69999999999999"/>
    <n v="149"/>
    <n v="139.69999999999999"/>
    <n v="8.4627329192546397E-2"/>
    <n v="143.80000000000001"/>
    <n v="146.19999999999999"/>
    <n v="5.0287356321839081E-2"/>
    <n v="124.6"/>
    <n v="137.69999999999999"/>
    <n v="150.30000000000001"/>
    <n v="133.4"/>
    <n v="137.69999999999999"/>
    <n v="140.4"/>
  </r>
  <r>
    <x v="0"/>
    <x v="7"/>
    <n v="3"/>
    <x v="29"/>
    <n v="144.4"/>
    <n v="166.8"/>
    <n v="147.6"/>
    <n v="151.69999999999999"/>
    <n v="133.30000000000001"/>
    <n v="141.80000000000001"/>
    <n v="152.30000000000001"/>
    <n v="141.80000000000001"/>
    <n v="112.6"/>
    <n v="154"/>
    <n v="140.1"/>
    <n v="160"/>
    <n v="148.19999999999999"/>
    <n v="7.3135409123823283E-2"/>
    <n v="170.5"/>
    <n v="153.4"/>
    <n v="147.6"/>
    <n v="152.5"/>
    <s v="NA"/>
    <n v="153.4"/>
    <n v="9.806728704366513E-2"/>
    <n v="151.5"/>
    <n v="156.69999999999999"/>
    <n v="7.1819425444596449E-2"/>
    <n v="135.80000000000001"/>
    <n v="151.19999999999999"/>
    <n v="161.19999999999999"/>
    <n v="145.1"/>
    <n v="148.6"/>
    <n v="149.80000000000001"/>
  </r>
  <r>
    <x v="1"/>
    <x v="7"/>
    <n v="3"/>
    <x v="29"/>
    <n v="146.5"/>
    <n v="167.5"/>
    <n v="148.9"/>
    <n v="151.1"/>
    <n v="127.5"/>
    <n v="143.30000000000001"/>
    <n v="167"/>
    <n v="139.69999999999999"/>
    <n v="114.4"/>
    <n v="151.5"/>
    <n v="131.9"/>
    <n v="159.1"/>
    <n v="150.1"/>
    <n v="1.282051282051286E-2"/>
    <n v="173.3"/>
    <n v="147.69999999999999"/>
    <n v="133.80000000000001"/>
    <n v="145.6"/>
    <n v="154.5"/>
    <n v="141.4"/>
    <n v="-7.822685788787484E-2"/>
    <n v="140.80000000000001"/>
    <n v="145"/>
    <n v="-7.4664964901084804E-2"/>
    <n v="124.6"/>
    <n v="137.9"/>
    <n v="152.5"/>
    <n v="145.30000000000001"/>
    <n v="138.69999999999999"/>
    <n v="147.30000000000001"/>
  </r>
  <r>
    <x v="2"/>
    <x v="7"/>
    <n v="3"/>
    <x v="29"/>
    <n v="145.1"/>
    <n v="167"/>
    <n v="148.1"/>
    <n v="151.5"/>
    <n v="131.19999999999999"/>
    <n v="142.5"/>
    <n v="157.30000000000001"/>
    <n v="141.1"/>
    <n v="113.2"/>
    <n v="153.19999999999999"/>
    <n v="136.69999999999999"/>
    <n v="159.6"/>
    <n v="148.9"/>
    <n v="-7.9946702198533549E-3"/>
    <n v="171.2"/>
    <n v="151.19999999999999"/>
    <n v="141.9"/>
    <n v="149.80000000000001"/>
    <n v="154.5"/>
    <n v="148.9"/>
    <n v="5.3041018387553041E-2"/>
    <n v="146.4"/>
    <n v="152.30000000000001"/>
    <n v="5.0344827586206974E-2"/>
    <n v="129.9"/>
    <n v="143.69999999999999"/>
    <n v="156.1"/>
    <n v="145.19999999999999"/>
    <n v="143.80000000000001"/>
    <n v="148.6"/>
  </r>
  <r>
    <x v="0"/>
    <x v="8"/>
    <n v="3"/>
    <x v="30"/>
    <n v="142.5"/>
    <n v="189.4"/>
    <n v="163.19999999999999"/>
    <n v="154.5"/>
    <n v="168.2"/>
    <n v="150.5"/>
    <n v="141"/>
    <n v="159.19999999999999"/>
    <n v="111.7"/>
    <n v="164"/>
    <n v="160.6"/>
    <n v="166.4"/>
    <n v="154.5"/>
    <n v="3.7609133646742739E-2"/>
    <n v="186.1"/>
    <n v="159.6"/>
    <n v="154.4"/>
    <n v="158.9"/>
    <s v="NA"/>
    <n v="156"/>
    <n v="4.7683008730691701E-2"/>
    <n v="154.80000000000001"/>
    <n v="164.6"/>
    <n v="8.0761654629021545E-2"/>
    <n v="151.30000000000001"/>
    <n v="157.80000000000001"/>
    <n v="163.80000000000001"/>
    <n v="153.1"/>
    <n v="157.30000000000001"/>
    <n v="156.69999999999999"/>
  </r>
  <r>
    <x v="1"/>
    <x v="8"/>
    <n v="3"/>
    <x v="30"/>
    <n v="147.5"/>
    <n v="197.5"/>
    <n v="164.7"/>
    <n v="155.6"/>
    <n v="156.4"/>
    <n v="157.30000000000001"/>
    <n v="166.1"/>
    <n v="161.1"/>
    <n v="114.3"/>
    <n v="162.6"/>
    <n v="150.69999999999999"/>
    <n v="170.3"/>
    <n v="160.4"/>
    <n v="3.8187702265372207E-2"/>
    <n v="193.5"/>
    <n v="155.1"/>
    <n v="138.69999999999999"/>
    <n v="152.6"/>
    <n v="159.9"/>
    <n v="154.80000000000001"/>
    <n v="-7.692307692307619E-3"/>
    <n v="147.19999999999999"/>
    <n v="156.9"/>
    <n v="-4.6780072904009651E-2"/>
    <n v="141.69999999999999"/>
    <n v="148.6"/>
    <n v="157.6"/>
    <n v="154.9"/>
    <n v="150"/>
    <n v="156.9"/>
  </r>
  <r>
    <x v="2"/>
    <x v="8"/>
    <n v="3"/>
    <x v="30"/>
    <n v="144.1"/>
    <n v="192.2"/>
    <n v="163.80000000000001"/>
    <n v="154.9"/>
    <n v="163.9"/>
    <n v="153.69999999999999"/>
    <n v="149.5"/>
    <n v="159.80000000000001"/>
    <n v="112.6"/>
    <n v="163.5"/>
    <n v="156.5"/>
    <n v="168.2"/>
    <n v="156.69999999999999"/>
    <n v="-2.306733167082305E-2"/>
    <n v="188.1"/>
    <n v="157.80000000000001"/>
    <n v="147.9"/>
    <n v="156.4"/>
    <n v="159.9"/>
    <n v="155.5"/>
    <n v="4.5219638242893316E-3"/>
    <n v="151.19999999999999"/>
    <n v="161.69999999999999"/>
    <n v="3.0592734225621306E-2"/>
    <n v="146.19999999999999"/>
    <n v="152.6"/>
    <n v="160.19999999999999"/>
    <n v="153.80000000000001"/>
    <n v="153.80000000000001"/>
    <n v="156.80000000000001"/>
  </r>
  <r>
    <x v="0"/>
    <x v="9"/>
    <n v="3"/>
    <x v="31"/>
    <n v="150.19999999999999"/>
    <n v="208"/>
    <n v="167.9"/>
    <n v="162"/>
    <n v="203.1"/>
    <n v="155.9"/>
    <n v="155.80000000000001"/>
    <n v="164.2"/>
    <n v="118.1"/>
    <n v="178.7"/>
    <n v="171.2"/>
    <n v="177.4"/>
    <n v="166.6"/>
    <n v="6.3178047223994935E-2"/>
    <n v="192.3"/>
    <n v="175.4"/>
    <n v="173.2"/>
    <n v="175.1"/>
    <s v="NA"/>
    <n v="168.9"/>
    <n v="8.6173633440514499E-2"/>
    <n v="166.5"/>
    <n v="176"/>
    <n v="8.8435374149659934E-2"/>
    <n v="162"/>
    <n v="166.6"/>
    <n v="170.6"/>
    <n v="167.4"/>
    <n v="168.3"/>
    <n v="168.7"/>
  </r>
  <r>
    <x v="1"/>
    <x v="9"/>
    <n v="3"/>
    <x v="31"/>
    <n v="153.69999999999999"/>
    <n v="215.8"/>
    <n v="167.7"/>
    <n v="162.6"/>
    <n v="180"/>
    <n v="159.6"/>
    <n v="188.4"/>
    <n v="163.4"/>
    <n v="120.3"/>
    <n v="174.7"/>
    <n v="157.1"/>
    <n v="181.5"/>
    <n v="171.5"/>
    <n v="2.9411764705882387E-2"/>
    <n v="197.5"/>
    <n v="167.1"/>
    <n v="152.6"/>
    <n v="164.9"/>
    <n v="165.3"/>
    <n v="164.5"/>
    <n v="-2.6050917702782745E-2"/>
    <n v="158.6"/>
    <n v="168.2"/>
    <n v="-4.4318181818181882E-2"/>
    <n v="154.19999999999999"/>
    <n v="160.80000000000001"/>
    <n v="162.69999999999999"/>
    <n v="166.8"/>
    <n v="160.6"/>
    <n v="166.5"/>
  </r>
  <r>
    <x v="2"/>
    <x v="9"/>
    <n v="3"/>
    <x v="31"/>
    <n v="151.30000000000001"/>
    <n v="210.7"/>
    <n v="167.8"/>
    <n v="162.19999999999999"/>
    <n v="194.6"/>
    <n v="157.6"/>
    <n v="166.9"/>
    <n v="163.9"/>
    <n v="118.8"/>
    <n v="177.4"/>
    <n v="165.3"/>
    <n v="179.3"/>
    <n v="168.4"/>
    <n v="-1.8075801749271102E-2"/>
    <n v="193.7"/>
    <n v="172.1"/>
    <n v="164.6"/>
    <n v="171.1"/>
    <n v="165.3"/>
    <n v="167.2"/>
    <n v="1.6413373860182302E-2"/>
    <n v="162.80000000000001"/>
    <n v="173"/>
    <n v="2.8537455410225992E-2"/>
    <n v="157.9"/>
    <n v="163.30000000000001"/>
    <n v="166"/>
    <n v="167.2"/>
    <n v="164.6"/>
    <n v="167.7"/>
  </r>
  <r>
    <x v="0"/>
    <x v="10"/>
    <n v="3"/>
    <x v="32"/>
    <n v="174.3"/>
    <n v="205.2"/>
    <n v="173.9"/>
    <n v="177"/>
    <n v="183.3"/>
    <n v="167.2"/>
    <n v="140.9"/>
    <n v="170.5"/>
    <n v="119.1"/>
    <n v="212.1"/>
    <n v="177.6"/>
    <n v="189.9"/>
    <n v="174.8"/>
    <n v="3.8004750593824257E-2"/>
    <n v="198.4"/>
    <n v="190"/>
    <n v="187"/>
    <n v="189.6"/>
    <s v="NA"/>
    <n v="181.4"/>
    <n v="8.492822966507188E-2"/>
    <n v="178.6"/>
    <n v="186.6"/>
    <n v="7.8612716763005741E-2"/>
    <n v="169"/>
    <n v="172.8"/>
    <n v="178.5"/>
    <n v="180.7"/>
    <n v="177.9"/>
    <n v="178"/>
  </r>
  <r>
    <x v="1"/>
    <x v="10"/>
    <n v="3"/>
    <x v="32"/>
    <n v="174.7"/>
    <n v="212.2"/>
    <n v="177.2"/>
    <n v="177.9"/>
    <n v="172.2"/>
    <n v="172.1"/>
    <n v="175.9"/>
    <n v="172.2"/>
    <n v="121.9"/>
    <n v="204.8"/>
    <n v="164.9"/>
    <n v="196.6"/>
    <n v="180.8"/>
    <n v="3.4324942791762014E-2"/>
    <n v="202.7"/>
    <n v="180.2"/>
    <n v="167"/>
    <n v="178.2"/>
    <n v="173.5"/>
    <n v="182.6"/>
    <n v="6.6152149944872576E-3"/>
    <n v="169.2"/>
    <n v="180.8"/>
    <n v="-3.1082529474812343E-2"/>
    <n v="159.80000000000001"/>
    <n v="168.4"/>
    <n v="172.5"/>
    <n v="181.5"/>
    <n v="170"/>
    <n v="176.3"/>
  </r>
  <r>
    <x v="2"/>
    <x v="10"/>
    <n v="3"/>
    <x v="32"/>
    <n v="174.4"/>
    <n v="207.7"/>
    <n v="175.2"/>
    <n v="177.3"/>
    <n v="179.2"/>
    <n v="169.5"/>
    <n v="152.80000000000001"/>
    <n v="171.1"/>
    <n v="120"/>
    <n v="209.7"/>
    <n v="172.3"/>
    <n v="193"/>
    <n v="177"/>
    <n v="-2.1017699115044308E-2"/>
    <n v="199.5"/>
    <n v="186.1"/>
    <n v="178.7"/>
    <n v="185.1"/>
    <n v="173.5"/>
    <n v="181.9"/>
    <n v="-3.8335158817085907E-3"/>
    <n v="174.2"/>
    <n v="184.4"/>
    <n v="1.991150442477873E-2"/>
    <n v="164.2"/>
    <n v="170.3"/>
    <n v="175"/>
    <n v="181"/>
    <n v="174.1"/>
    <n v="177.2"/>
  </r>
  <r>
    <x v="0"/>
    <x v="0"/>
    <n v="4"/>
    <x v="33"/>
    <n v="110.2"/>
    <n v="109.5"/>
    <n v="106.9"/>
    <n v="106.3"/>
    <n v="105.7"/>
    <n v="108.3"/>
    <n v="103.4"/>
    <n v="105.7"/>
    <n v="104.2"/>
    <n v="103.2"/>
    <n v="106.5"/>
    <n v="108.8"/>
    <n v="107.1"/>
    <n v="-0.39491525423728818"/>
    <n v="107.1"/>
    <n v="108.1"/>
    <n v="107.4"/>
    <n v="108"/>
    <s v="NA"/>
    <n v="106.5"/>
    <n v="-0.4145134689389775"/>
    <n v="106.1"/>
    <n v="105.1"/>
    <n v="-0.43004338394793928"/>
    <n v="104.4"/>
    <n v="104.5"/>
    <n v="104.8"/>
    <n v="102.7"/>
    <n v="104.6"/>
    <n v="106.4"/>
  </r>
  <r>
    <x v="1"/>
    <x v="0"/>
    <n v="4"/>
    <x v="33"/>
    <n v="114.6"/>
    <n v="113.4"/>
    <n v="106"/>
    <n v="104.7"/>
    <n v="102.1"/>
    <n v="109.5"/>
    <n v="109.7"/>
    <n v="104.6"/>
    <n v="102"/>
    <n v="103.5"/>
    <n v="108.2"/>
    <n v="110.6"/>
    <n v="108.8"/>
    <n v="1.58730158730159E-2"/>
    <n v="108.5"/>
    <n v="107.9"/>
    <n v="106.4"/>
    <n v="107.7"/>
    <n v="100.5"/>
    <n v="106.4"/>
    <n v="-9.3896713615018138E-4"/>
    <n v="106.5"/>
    <n v="105.7"/>
    <n v="5.7088487155091206E-3"/>
    <n v="105"/>
    <n v="104"/>
    <n v="105.2"/>
    <n v="103.2"/>
    <n v="105.1"/>
    <n v="105.7"/>
  </r>
  <r>
    <x v="2"/>
    <x v="0"/>
    <n v="4"/>
    <x v="33"/>
    <n v="111.6"/>
    <n v="110.9"/>
    <n v="106.6"/>
    <n v="105.7"/>
    <n v="104.4"/>
    <n v="108.9"/>
    <n v="105.5"/>
    <n v="105.3"/>
    <n v="103.5"/>
    <n v="103.3"/>
    <n v="107.2"/>
    <n v="109.6"/>
    <n v="107.7"/>
    <n v="-1.0110294117647007E-2"/>
    <n v="107.5"/>
    <n v="108"/>
    <n v="107"/>
    <n v="107.9"/>
    <n v="100.5"/>
    <n v="106.5"/>
    <n v="9.3984962406009687E-4"/>
    <n v="106.3"/>
    <n v="105.3"/>
    <n v="-3.7842951750237056E-3"/>
    <n v="104.7"/>
    <n v="104.2"/>
    <n v="105"/>
    <n v="102.9"/>
    <n v="104.8"/>
    <n v="106.1"/>
  </r>
  <r>
    <x v="0"/>
    <x v="1"/>
    <n v="4"/>
    <x v="34"/>
    <n v="120.2"/>
    <n v="118.9"/>
    <n v="118.1"/>
    <n v="117"/>
    <n v="109.7"/>
    <n v="125.5"/>
    <n v="120.5"/>
    <n v="111"/>
    <n v="102.6"/>
    <n v="111.2"/>
    <n v="113.5"/>
    <n v="118.7"/>
    <n v="117.2"/>
    <n v="8.8207985143918283E-2"/>
    <n v="115.4"/>
    <n v="118.1"/>
    <n v="116.1"/>
    <n v="117.8"/>
    <s v="NA"/>
    <n v="113.4"/>
    <n v="6.478873239436625E-2"/>
    <n v="113.7"/>
    <n v="111.8"/>
    <n v="6.1728395061728399E-2"/>
    <n v="111.2"/>
    <n v="110.5"/>
    <n v="113"/>
    <n v="108.9"/>
    <n v="111.5"/>
    <n v="115.4"/>
  </r>
  <r>
    <x v="1"/>
    <x v="1"/>
    <n v="4"/>
    <x v="34"/>
    <n v="122.5"/>
    <n v="121.7"/>
    <n v="113.3"/>
    <n v="117"/>
    <n v="103.1"/>
    <n v="126.7"/>
    <n v="121.2"/>
    <n v="111"/>
    <n v="100.3"/>
    <n v="115.3"/>
    <n v="112.7"/>
    <n v="121"/>
    <n v="118.2"/>
    <n v="8.5324232081911266E-3"/>
    <n v="117.6"/>
    <n v="116.3"/>
    <n v="112.5"/>
    <n v="115.7"/>
    <n v="113.9"/>
    <n v="110.9"/>
    <n v="-2.2045855379188711E-2"/>
    <n v="113.4"/>
    <n v="111"/>
    <n v="-7.1556350626117817E-3"/>
    <n v="111.2"/>
    <n v="111.2"/>
    <n v="112.5"/>
    <n v="109.1"/>
    <n v="111.4"/>
    <n v="114.7"/>
  </r>
  <r>
    <x v="2"/>
    <x v="1"/>
    <n v="4"/>
    <x v="34"/>
    <n v="120.9"/>
    <n v="119.9"/>
    <n v="116.2"/>
    <n v="117"/>
    <n v="107.3"/>
    <n v="126.1"/>
    <n v="120.7"/>
    <n v="111"/>
    <n v="101.8"/>
    <n v="112.6"/>
    <n v="113.2"/>
    <n v="119.8"/>
    <n v="117.6"/>
    <n v="-5.076142131979767E-3"/>
    <n v="116"/>
    <n v="117.4"/>
    <n v="114.6"/>
    <n v="117"/>
    <n v="113.9"/>
    <n v="112.5"/>
    <n v="1.4427412082957567E-2"/>
    <n v="113.6"/>
    <n v="111.5"/>
    <n v="4.5045045045045045E-3"/>
    <n v="111.2"/>
    <n v="110.9"/>
    <n v="112.7"/>
    <n v="109"/>
    <n v="111.5"/>
    <n v="115.1"/>
  </r>
  <r>
    <x v="0"/>
    <x v="2"/>
    <n v="4"/>
    <x v="35"/>
    <n v="123.3"/>
    <n v="125.5"/>
    <n v="117.2"/>
    <n v="126.8"/>
    <n v="111.9"/>
    <n v="134.19999999999999"/>
    <n v="127.5"/>
    <n v="121.5"/>
    <n v="97.8"/>
    <n v="119.8"/>
    <n v="119.4"/>
    <n v="128.69999999999999"/>
    <n v="123.6"/>
    <n v="5.1020408163265307E-2"/>
    <n v="125.7"/>
    <n v="126.4"/>
    <n v="123.3"/>
    <n v="126"/>
    <s v="NA"/>
    <n v="121.2"/>
    <n v="7.7333333333333365E-2"/>
    <n v="120.9"/>
    <n v="118.6"/>
    <n v="6.3677130044843003E-2"/>
    <n v="111.9"/>
    <n v="116.2"/>
    <n v="119.9"/>
    <n v="111.6"/>
    <n v="116"/>
    <n v="121.5"/>
  </r>
  <r>
    <x v="1"/>
    <x v="2"/>
    <n v="4"/>
    <x v="35"/>
    <n v="123.8"/>
    <n v="128.19999999999999"/>
    <n v="110"/>
    <n v="126.3"/>
    <n v="104.5"/>
    <n v="130.6"/>
    <n v="130.80000000000001"/>
    <n v="131.30000000000001"/>
    <n v="91.6"/>
    <n v="127.7"/>
    <n v="117.2"/>
    <n v="129.5"/>
    <n v="124.6"/>
    <n v="8.0906148867313926E-3"/>
    <n v="130.1"/>
    <n v="122.1"/>
    <n v="117.2"/>
    <n v="121.3"/>
    <n v="119.2"/>
    <n v="114.7"/>
    <n v="-5.3630363036303627E-2"/>
    <n v="118.4"/>
    <n v="114.6"/>
    <n v="-3.3726812816188868E-2"/>
    <n v="108.4"/>
    <n v="115.6"/>
    <n v="121.7"/>
    <n v="111.8"/>
    <n v="114.2"/>
    <n v="119.7"/>
  </r>
  <r>
    <x v="2"/>
    <x v="2"/>
    <n v="4"/>
    <x v="35"/>
    <n v="123.5"/>
    <n v="126.4"/>
    <n v="114.4"/>
    <n v="126.6"/>
    <n v="109.2"/>
    <n v="132.5"/>
    <n v="128.6"/>
    <n v="124.8"/>
    <n v="95.7"/>
    <n v="122.4"/>
    <n v="118.5"/>
    <n v="129.1"/>
    <n v="124"/>
    <n v="-4.8154093097912869E-3"/>
    <n v="126.9"/>
    <n v="124.7"/>
    <n v="120.8"/>
    <n v="124.1"/>
    <n v="119.2"/>
    <n v="118.7"/>
    <n v="3.4873583260680033E-2"/>
    <n v="119.7"/>
    <n v="117.1"/>
    <n v="2.181500872600349E-2"/>
    <n v="110.1"/>
    <n v="115.9"/>
    <n v="121"/>
    <n v="111.7"/>
    <n v="115.1"/>
    <n v="120.7"/>
  </r>
  <r>
    <x v="0"/>
    <x v="3"/>
    <n v="4"/>
    <x v="36"/>
    <n v="127.4"/>
    <n v="135.4"/>
    <n v="123.4"/>
    <n v="131.30000000000001"/>
    <n v="118.2"/>
    <n v="138.1"/>
    <n v="134.1"/>
    <n v="162.69999999999999"/>
    <n v="105"/>
    <n v="131.4"/>
    <n v="125.4"/>
    <n v="137.4"/>
    <n v="131.80000000000001"/>
    <n v="6.2903225806451704E-2"/>
    <n v="135.5"/>
    <n v="135"/>
    <n v="130.6"/>
    <n v="134.4"/>
    <s v="NA"/>
    <n v="127"/>
    <n v="6.9924178601516396E-2"/>
    <n v="128"/>
    <n v="125.2"/>
    <n v="6.9171648163962499E-2"/>
    <n v="114.4"/>
    <n v="123.2"/>
    <n v="127.9"/>
    <n v="118.4"/>
    <n v="121.7"/>
    <n v="129"/>
  </r>
  <r>
    <x v="1"/>
    <x v="3"/>
    <n v="4"/>
    <x v="36"/>
    <n v="124.9"/>
    <n v="139.30000000000001"/>
    <n v="119.9"/>
    <n v="130.19999999999999"/>
    <n v="108.9"/>
    <n v="131.1"/>
    <n v="136.80000000000001"/>
    <n v="176.9"/>
    <n v="109.1"/>
    <n v="140.4"/>
    <n v="121.1"/>
    <n v="135.9"/>
    <n v="131.80000000000001"/>
    <n v="0"/>
    <n v="141.5"/>
    <n v="126.8"/>
    <n v="120.5"/>
    <n v="125.8"/>
    <n v="125.6"/>
    <n v="114.6"/>
    <n v="-9.7637795275590591E-2"/>
    <n v="122.8"/>
    <n v="120"/>
    <n v="-4.1533546325878613E-2"/>
    <n v="110"/>
    <n v="119.5"/>
    <n v="127.6"/>
    <n v="117.6"/>
    <n v="118.2"/>
    <n v="125.3"/>
  </r>
  <r>
    <x v="2"/>
    <x v="3"/>
    <n v="4"/>
    <x v="36"/>
    <n v="126.6"/>
    <n v="136.80000000000001"/>
    <n v="122"/>
    <n v="130.9"/>
    <n v="114.8"/>
    <n v="134.80000000000001"/>
    <n v="135"/>
    <n v="167.5"/>
    <n v="106.4"/>
    <n v="134.4"/>
    <n v="123.6"/>
    <n v="136.69999999999999"/>
    <n v="131.80000000000001"/>
    <n v="0"/>
    <n v="137.1"/>
    <n v="131.80000000000001"/>
    <n v="126.4"/>
    <n v="131"/>
    <n v="125.6"/>
    <n v="122.3"/>
    <n v="6.7190226876090775E-2"/>
    <n v="125.5"/>
    <n v="123.2"/>
    <n v="2.6666666666666689E-2"/>
    <n v="112.1"/>
    <n v="121.1"/>
    <n v="127.7"/>
    <n v="118.1"/>
    <n v="120"/>
    <n v="127.3"/>
  </r>
  <r>
    <x v="0"/>
    <x v="4"/>
    <n v="4"/>
    <x v="37"/>
    <n v="133.19999999999999"/>
    <n v="138.69999999999999"/>
    <n v="127.1"/>
    <n v="137.69999999999999"/>
    <n v="121.3"/>
    <n v="141.80000000000001"/>
    <n v="121.5"/>
    <n v="144.5"/>
    <n v="117.4"/>
    <n v="134.1"/>
    <n v="130"/>
    <n v="145.5"/>
    <n v="133.5"/>
    <n v="1.2898330804248775E-2"/>
    <n v="144.4"/>
    <n v="142.4"/>
    <n v="136.80000000000001"/>
    <n v="141.6"/>
    <s v="NA"/>
    <n v="135"/>
    <n v="0.1038430089942764"/>
    <n v="134.30000000000001"/>
    <n v="131"/>
    <n v="6.3311688311688291E-2"/>
    <n v="119.2"/>
    <n v="128.30000000000001"/>
    <n v="135.69999999999999"/>
    <n v="123.7"/>
    <n v="127.5"/>
    <n v="132.9"/>
  </r>
  <r>
    <x v="1"/>
    <x v="4"/>
    <n v="4"/>
    <x v="37"/>
    <n v="132.69999999999999"/>
    <n v="140.6"/>
    <n v="124.5"/>
    <n v="136.30000000000001"/>
    <n v="113.5"/>
    <n v="137.69999999999999"/>
    <n v="127.1"/>
    <n v="133.80000000000001"/>
    <n v="120.8"/>
    <n v="141.30000000000001"/>
    <n v="123.8"/>
    <n v="142.6"/>
    <n v="133.4"/>
    <n v="-7.4906367041194244E-4"/>
    <n v="148"/>
    <n v="131.19999999999999"/>
    <n v="123"/>
    <n v="130"/>
    <n v="131.69999999999999"/>
    <n v="121.4"/>
    <n v="-0.1007407407407407"/>
    <n v="126"/>
    <n v="123.4"/>
    <n v="-5.8015267175572476E-2"/>
    <n v="114.3"/>
    <n v="122.6"/>
    <n v="133.6"/>
    <n v="122.2"/>
    <n v="122.5"/>
    <n v="129.1"/>
  </r>
  <r>
    <x v="2"/>
    <x v="4"/>
    <n v="4"/>
    <x v="37"/>
    <n v="133"/>
    <n v="139.4"/>
    <n v="126.1"/>
    <n v="137.19999999999999"/>
    <n v="118.4"/>
    <n v="139.9"/>
    <n v="123.4"/>
    <n v="140.9"/>
    <n v="118.5"/>
    <n v="136.5"/>
    <n v="127.4"/>
    <n v="144.19999999999999"/>
    <n v="133.5"/>
    <n v="7.4962518740625422E-4"/>
    <n v="145.4"/>
    <n v="138"/>
    <n v="131.1"/>
    <n v="137"/>
    <n v="131.69999999999999"/>
    <n v="129.80000000000001"/>
    <n v="6.9192751235584882E-2"/>
    <n v="130.4"/>
    <n v="128.1"/>
    <n v="3.8087520259319191E-2"/>
    <n v="116.6"/>
    <n v="125.1"/>
    <n v="134.5"/>
    <n v="123.1"/>
    <n v="125.1"/>
    <n v="131.1"/>
  </r>
  <r>
    <x v="0"/>
    <x v="5"/>
    <n v="4"/>
    <x v="38"/>
    <n v="137.1"/>
    <n v="144.5"/>
    <n v="135.9"/>
    <n v="142.4"/>
    <n v="123.5"/>
    <n v="156.4"/>
    <n v="135.1"/>
    <n v="128.4"/>
    <n v="115.2"/>
    <n v="137.19999999999999"/>
    <n v="131.9"/>
    <n v="153.80000000000001"/>
    <n v="138.6"/>
    <n v="3.8202247191011195E-2"/>
    <n v="156.1"/>
    <n v="150.1"/>
    <n v="143.30000000000001"/>
    <n v="149.1"/>
    <s v="NA"/>
    <n v="143.80000000000001"/>
    <n v="0.10785824345146378"/>
    <n v="140.9"/>
    <n v="137.6"/>
    <n v="7.4160811865729898E-2"/>
    <n v="125.3"/>
    <n v="136"/>
    <n v="143.69999999999999"/>
    <n v="130.4"/>
    <n v="134.19999999999999"/>
    <n v="139.1"/>
  </r>
  <r>
    <x v="1"/>
    <x v="5"/>
    <n v="4"/>
    <x v="38"/>
    <n v="135"/>
    <n v="144.30000000000001"/>
    <n v="130.80000000000001"/>
    <n v="140.30000000000001"/>
    <n v="116.6"/>
    <n v="150.1"/>
    <n v="127.6"/>
    <n v="114"/>
    <n v="110.6"/>
    <n v="140.19999999999999"/>
    <n v="126.5"/>
    <n v="148.30000000000001"/>
    <n v="135.69999999999999"/>
    <n v="-2.0923520923520966E-2"/>
    <n v="159.19999999999999"/>
    <n v="137.80000000000001"/>
    <n v="127.4"/>
    <n v="136.19999999999999"/>
    <n v="142.9"/>
    <n v="124.6"/>
    <n v="-0.13351877607788606"/>
    <n v="131.80000000000001"/>
    <n v="131.30000000000001"/>
    <n v="-4.5784883720930113E-2"/>
    <n v="118.9"/>
    <n v="127.6"/>
    <n v="139.69999999999999"/>
    <n v="127.6"/>
    <n v="128.19999999999999"/>
    <n v="134.80000000000001"/>
  </r>
  <r>
    <x v="2"/>
    <x v="5"/>
    <n v="4"/>
    <x v="38"/>
    <n v="136.4"/>
    <n v="144.4"/>
    <n v="133.9"/>
    <n v="141.6"/>
    <n v="121"/>
    <n v="153.5"/>
    <n v="132.6"/>
    <n v="123.5"/>
    <n v="113.7"/>
    <n v="138.19999999999999"/>
    <n v="129.6"/>
    <n v="151.19999999999999"/>
    <n v="137.5"/>
    <n v="1.3264554163596252E-2"/>
    <n v="156.9"/>
    <n v="145.30000000000001"/>
    <n v="136.69999999999999"/>
    <n v="144"/>
    <n v="142.9"/>
    <n v="136.5"/>
    <n v="9.5505617977528143E-2"/>
    <n v="136.6"/>
    <n v="135.19999999999999"/>
    <n v="2.9702970297029528E-2"/>
    <n v="121.9"/>
    <n v="131.30000000000001"/>
    <n v="141.4"/>
    <n v="129.19999999999999"/>
    <n v="131.30000000000001"/>
    <n v="137.1"/>
  </r>
  <r>
    <x v="0"/>
    <x v="7"/>
    <n v="4"/>
    <x v="39"/>
    <n v="147.19999999999999"/>
    <n v="167.2"/>
    <n v="146.9"/>
    <n v="155.6"/>
    <n v="137.1"/>
    <n v="147.30000000000001"/>
    <n v="162.69999999999999"/>
    <n v="150.19999999999999"/>
    <n v="119.8"/>
    <n v="158.69999999999999"/>
    <n v="139.19999999999999"/>
    <n v="159.30000000000001"/>
    <n v="150.1"/>
    <n v="9.1636363636363599E-2"/>
    <n v="169.5"/>
    <n v="153.1"/>
    <n v="147.5"/>
    <n v="152.30000000000001"/>
    <s v="NA"/>
    <n v="148.4"/>
    <n v="8.7179487179487217E-2"/>
    <n v="151.69999999999999"/>
    <n v="154.30000000000001"/>
    <n v="0.14127218934911259"/>
    <n v="136"/>
    <n v="150.6"/>
    <n v="161.6"/>
    <n v="143.69999999999999"/>
    <n v="148.4"/>
    <n v="150.69999999999999"/>
  </r>
  <r>
    <x v="1"/>
    <x v="7"/>
    <n v="4"/>
    <x v="39"/>
    <n v="151.80000000000001"/>
    <n v="167.6"/>
    <n v="151.9"/>
    <n v="155.5"/>
    <n v="131.6"/>
    <n v="152.9"/>
    <n v="180"/>
    <n v="150.80000000000001"/>
    <n v="121.2"/>
    <n v="154"/>
    <n v="133.5"/>
    <n v="158.9"/>
    <n v="153.5"/>
    <n v="2.2651565622918094E-2"/>
    <n v="172"/>
    <n v="147.30000000000001"/>
    <n v="133.5"/>
    <n v="145.19999999999999"/>
    <n v="155.6"/>
    <n v="137.1"/>
    <n v="-7.6145552560646979E-2"/>
    <n v="140.4"/>
    <n v="144.80000000000001"/>
    <n v="-6.1568373298768631E-2"/>
    <n v="125.3"/>
    <n v="137.6"/>
    <n v="152.30000000000001"/>
    <n v="143.6"/>
    <n v="138.5"/>
    <n v="147.69999999999999"/>
  </r>
  <r>
    <x v="2"/>
    <x v="7"/>
    <n v="4"/>
    <x v="39"/>
    <n v="148.69999999999999"/>
    <n v="167.3"/>
    <n v="148.80000000000001"/>
    <n v="155.6"/>
    <n v="135.1"/>
    <n v="149.9"/>
    <n v="168.6"/>
    <n v="150.4"/>
    <n v="120.3"/>
    <n v="157.1"/>
    <n v="136.80000000000001"/>
    <n v="159.1"/>
    <n v="151.4"/>
    <n v="-1.3680781758957618E-2"/>
    <n v="170.2"/>
    <n v="150.80000000000001"/>
    <n v="141.69999999999999"/>
    <n v="149.5"/>
    <n v="155.6"/>
    <n v="144.1"/>
    <n v="5.1057622173595919E-2"/>
    <n v="146.30000000000001"/>
    <n v="150.69999999999999"/>
    <n v="4.0745856353591001E-2"/>
    <n v="130.4"/>
    <n v="143.19999999999999"/>
    <n v="156.1"/>
    <n v="143.6"/>
    <n v="143.6"/>
    <n v="149.30000000000001"/>
  </r>
  <r>
    <x v="0"/>
    <x v="8"/>
    <n v="4"/>
    <x v="40"/>
    <n v="142.69999999999999"/>
    <n v="195.5"/>
    <n v="163.4"/>
    <n v="155"/>
    <n v="175.2"/>
    <n v="160.6"/>
    <n v="135.1"/>
    <n v="161.1"/>
    <n v="112.2"/>
    <n v="164.4"/>
    <n v="161.9"/>
    <n v="166.8"/>
    <n v="155.6"/>
    <n v="2.7741083223249592E-2"/>
    <n v="186.8"/>
    <n v="160.69999999999999"/>
    <n v="155.1"/>
    <n v="159.9"/>
    <s v="NA"/>
    <n v="156"/>
    <n v="8.258154059680782E-2"/>
    <n v="155.5"/>
    <n v="165.3"/>
    <n v="9.6881220968812368E-2"/>
    <n v="151.69999999999999"/>
    <n v="158.6"/>
    <n v="164.1"/>
    <n v="154.6"/>
    <n v="158"/>
    <n v="157.6"/>
  </r>
  <r>
    <x v="1"/>
    <x v="8"/>
    <n v="4"/>
    <x v="40"/>
    <n v="147.6"/>
    <n v="202.5"/>
    <n v="166.4"/>
    <n v="156"/>
    <n v="161.4"/>
    <n v="168.8"/>
    <n v="161.6"/>
    <n v="162.80000000000001"/>
    <n v="114.8"/>
    <n v="162.80000000000001"/>
    <n v="151.5"/>
    <n v="171.4"/>
    <n v="162"/>
    <n v="4.1131105398457622E-2"/>
    <n v="194.4"/>
    <n v="155.9"/>
    <n v="139.30000000000001"/>
    <n v="153.4"/>
    <n v="161.4"/>
    <n v="154.9"/>
    <n v="-7.051282051282015E-3"/>
    <n v="147.6"/>
    <n v="157.5"/>
    <n v="-4.7186932849364857E-2"/>
    <n v="142.1"/>
    <n v="149.1"/>
    <n v="157.6"/>
    <n v="156.6"/>
    <n v="150.5"/>
    <n v="158"/>
  </r>
  <r>
    <x v="2"/>
    <x v="8"/>
    <n v="4"/>
    <x v="40"/>
    <n v="144.30000000000001"/>
    <n v="198"/>
    <n v="164.6"/>
    <n v="155.4"/>
    <n v="170.1"/>
    <n v="164.4"/>
    <n v="144.1"/>
    <n v="161.69999999999999"/>
    <n v="113.1"/>
    <n v="163.9"/>
    <n v="157.6"/>
    <n v="168.9"/>
    <n v="158"/>
    <n v="-2.4691358024691357E-2"/>
    <n v="188.8"/>
    <n v="158.80000000000001"/>
    <n v="148.5"/>
    <n v="157.30000000000001"/>
    <n v="161.4"/>
    <n v="155.6"/>
    <n v="4.5190445448675832E-3"/>
    <n v="151.80000000000001"/>
    <n v="162.30000000000001"/>
    <n v="3.0476190476190549E-2"/>
    <n v="146.6"/>
    <n v="153.19999999999999"/>
    <n v="160.30000000000001"/>
    <n v="155.4"/>
    <n v="154.4"/>
    <n v="157.80000000000001"/>
  </r>
  <r>
    <x v="0"/>
    <x v="9"/>
    <n v="4"/>
    <x v="41"/>
    <n v="151.80000000000001"/>
    <n v="209.7"/>
    <n v="164.5"/>
    <n v="163.80000000000001"/>
    <n v="207.4"/>
    <n v="169.7"/>
    <n v="153.6"/>
    <n v="165.1"/>
    <n v="118.2"/>
    <n v="182.9"/>
    <n v="172.4"/>
    <n v="178.9"/>
    <n v="168.6"/>
    <n v="6.7088607594936678E-2"/>
    <n v="192.8"/>
    <n v="177.5"/>
    <n v="175.1"/>
    <n v="177.1"/>
    <s v="NA"/>
    <n v="173.3"/>
    <n v="0.11375321336760937"/>
    <n v="167.7"/>
    <n v="177"/>
    <n v="9.0573012939001774E-2"/>
    <n v="166.2"/>
    <n v="167.2"/>
    <n v="170.9"/>
    <n v="169"/>
    <n v="170.2"/>
    <n v="170.8"/>
  </r>
  <r>
    <x v="1"/>
    <x v="9"/>
    <n v="4"/>
    <x v="41"/>
    <n v="155.4"/>
    <n v="215.8"/>
    <n v="164.6"/>
    <n v="164.2"/>
    <n v="186"/>
    <n v="175.9"/>
    <n v="190.7"/>
    <n v="164"/>
    <n v="120.5"/>
    <n v="178"/>
    <n v="157.5"/>
    <n v="183.3"/>
    <n v="174.5"/>
    <n v="3.4994068801898016E-2"/>
    <n v="197.1"/>
    <n v="168.4"/>
    <n v="154.5"/>
    <n v="166.3"/>
    <n v="167"/>
    <n v="170.5"/>
    <n v="-1.615695326024242E-2"/>
    <n v="159.80000000000001"/>
    <n v="169"/>
    <n v="-4.519774011299435E-2"/>
    <n v="159.30000000000001"/>
    <n v="162.19999999999999"/>
    <n v="164"/>
    <n v="168.4"/>
    <n v="163.1"/>
    <n v="169.2"/>
  </r>
  <r>
    <x v="2"/>
    <x v="9"/>
    <n v="4"/>
    <x v="41"/>
    <n v="152.9"/>
    <n v="211.8"/>
    <n v="164.5"/>
    <n v="163.9"/>
    <n v="199.5"/>
    <n v="172.6"/>
    <n v="166.2"/>
    <n v="164.7"/>
    <n v="119"/>
    <n v="181.3"/>
    <n v="166.2"/>
    <n v="180.9"/>
    <n v="170.8"/>
    <n v="-2.1203438395415407E-2"/>
    <n v="193.9"/>
    <n v="173.9"/>
    <n v="166.5"/>
    <n v="172.8"/>
    <n v="167"/>
    <n v="172.2"/>
    <n v="9.9706744868034523E-3"/>
    <n v="164"/>
    <n v="174"/>
    <n v="2.9585798816568046E-2"/>
    <n v="162.6"/>
    <n v="164.4"/>
    <n v="166.9"/>
    <n v="168.8"/>
    <n v="166.8"/>
    <n v="170.1"/>
  </r>
  <r>
    <x v="0"/>
    <x v="10"/>
    <n v="4"/>
    <x v="42"/>
    <n v="173.3"/>
    <n v="206.9"/>
    <n v="167.9"/>
    <n v="178.2"/>
    <n v="178.5"/>
    <n v="173.7"/>
    <n v="142.80000000000001"/>
    <n v="172.8"/>
    <n v="120.4"/>
    <n v="215.5"/>
    <n v="178.2"/>
    <n v="190.5"/>
    <n v="175.5"/>
    <n v="2.7517564402810234E-2"/>
    <n v="199.5"/>
    <n v="190.7"/>
    <n v="187.3"/>
    <n v="190.2"/>
    <s v="NA"/>
    <n v="181.5"/>
    <n v="5.4006968641115052E-2"/>
    <n v="179.1"/>
    <n v="187.2"/>
    <n v="7.5862068965517171E-2"/>
    <n v="169.4"/>
    <n v="173.2"/>
    <n v="179.4"/>
    <n v="183.8"/>
    <n v="178.9"/>
    <n v="178.8"/>
  </r>
  <r>
    <x v="1"/>
    <x v="10"/>
    <n v="4"/>
    <x v="42"/>
    <n v="174.8"/>
    <n v="213.7"/>
    <n v="172.4"/>
    <n v="178.8"/>
    <n v="168.7"/>
    <n v="179.2"/>
    <n v="179.9"/>
    <n v="174.7"/>
    <n v="123.1"/>
    <n v="207.8"/>
    <n v="165.5"/>
    <n v="197"/>
    <n v="182.1"/>
    <n v="3.7606837606837577E-2"/>
    <n v="203.5"/>
    <n v="181"/>
    <n v="167.7"/>
    <n v="178.9"/>
    <n v="175.2"/>
    <n v="182.1"/>
    <n v="3.3057851239669108E-3"/>
    <n v="169.6"/>
    <n v="181.5"/>
    <n v="-3.0448717948717889E-2"/>
    <n v="160.1"/>
    <n v="168.8"/>
    <n v="174.2"/>
    <n v="184.4"/>
    <n v="170.9"/>
    <n v="177.4"/>
  </r>
  <r>
    <x v="2"/>
    <x v="10"/>
    <n v="4"/>
    <x v="42"/>
    <n v="173.8"/>
    <n v="209.3"/>
    <n v="169.6"/>
    <n v="178.4"/>
    <n v="174.9"/>
    <n v="176.3"/>
    <n v="155.4"/>
    <n v="173.4"/>
    <n v="121.3"/>
    <n v="212.9"/>
    <n v="172.9"/>
    <n v="193.5"/>
    <n v="177.9"/>
    <n v="-2.3064250411861553E-2"/>
    <n v="200.6"/>
    <n v="186.9"/>
    <n v="179.2"/>
    <n v="185.7"/>
    <n v="175.2"/>
    <n v="181.7"/>
    <n v="-2.196595277320185E-3"/>
    <n v="174.6"/>
    <n v="185"/>
    <n v="1.928374655647383E-2"/>
    <n v="164.5"/>
    <n v="170.7"/>
    <n v="176.4"/>
    <n v="184"/>
    <n v="175"/>
    <n v="178.1"/>
  </r>
  <r>
    <x v="0"/>
    <x v="0"/>
    <n v="5"/>
    <x v="43"/>
    <n v="110.9"/>
    <n v="109.8"/>
    <n v="105.9"/>
    <n v="107.5"/>
    <n v="105.3"/>
    <n v="108.1"/>
    <n v="107.3"/>
    <n v="106.1"/>
    <n v="103.7"/>
    <n v="104"/>
    <n v="107.4"/>
    <n v="109.9"/>
    <n v="108.1"/>
    <n v="-0.39235525576166391"/>
    <n v="108.1"/>
    <n v="108.8"/>
    <n v="107.9"/>
    <n v="108.6"/>
    <s v="NA"/>
    <n v="107.5"/>
    <n v="-0.4083654375343973"/>
    <n v="106.8"/>
    <n v="105.7"/>
    <n v="-0.42864864864864866"/>
    <n v="104.1"/>
    <n v="105"/>
    <n v="105.5"/>
    <n v="102.1"/>
    <n v="104.8"/>
    <n v="107.2"/>
  </r>
  <r>
    <x v="1"/>
    <x v="0"/>
    <n v="5"/>
    <x v="43"/>
    <n v="115.4"/>
    <n v="114.2"/>
    <n v="102.7"/>
    <n v="105.5"/>
    <n v="101.5"/>
    <n v="110.6"/>
    <n v="123.7"/>
    <n v="105.2"/>
    <n v="101.9"/>
    <n v="105"/>
    <n v="109.1"/>
    <n v="111.3"/>
    <n v="111.1"/>
    <n v="2.775208140610546E-2"/>
    <n v="109.8"/>
    <n v="108.5"/>
    <n v="106.7"/>
    <n v="108.3"/>
    <n v="100.5"/>
    <n v="107.2"/>
    <n v="-2.7906976744185782E-3"/>
    <n v="107.1"/>
    <n v="106.2"/>
    <n v="4.7303689687795648E-3"/>
    <n v="103.9"/>
    <n v="104.6"/>
    <n v="105.7"/>
    <n v="102.6"/>
    <n v="104.9"/>
    <n v="106.6"/>
  </r>
  <r>
    <x v="2"/>
    <x v="0"/>
    <n v="5"/>
    <x v="43"/>
    <n v="112.3"/>
    <n v="111.3"/>
    <n v="104.7"/>
    <n v="106.8"/>
    <n v="103.9"/>
    <n v="109.3"/>
    <n v="112.9"/>
    <n v="105.8"/>
    <n v="103.1"/>
    <n v="104.3"/>
    <n v="108.1"/>
    <n v="110.5"/>
    <n v="109.2"/>
    <n v="-1.7101710171017026E-2"/>
    <n v="108.6"/>
    <n v="108.7"/>
    <n v="107.4"/>
    <n v="108.5"/>
    <n v="100.5"/>
    <n v="107.4"/>
    <n v="1.8656716417910712E-3"/>
    <n v="106.9"/>
    <n v="105.9"/>
    <n v="-2.82485875706212E-3"/>
    <n v="104"/>
    <n v="104.8"/>
    <n v="105.6"/>
    <n v="102.3"/>
    <n v="104.8"/>
    <n v="106.9"/>
  </r>
  <r>
    <x v="0"/>
    <x v="1"/>
    <n v="5"/>
    <x v="44"/>
    <n v="120.3"/>
    <n v="120.2"/>
    <n v="116.9"/>
    <n v="118"/>
    <n v="110.1"/>
    <n v="126.3"/>
    <n v="123.9"/>
    <n v="111.5"/>
    <n v="103.5"/>
    <n v="111.6"/>
    <n v="114.2"/>
    <n v="119.2"/>
    <n v="118.2"/>
    <n v="8.2417582417582416E-2"/>
    <n v="116.3"/>
    <n v="118.7"/>
    <n v="116.8"/>
    <n v="118.5"/>
    <s v="NA"/>
    <n v="113.4"/>
    <n v="5.5865921787709494E-2"/>
    <n v="114.1"/>
    <n v="112.1"/>
    <n v="5.8545797922568352E-2"/>
    <n v="111.4"/>
    <n v="110.9"/>
    <n v="113.1"/>
    <n v="108.9"/>
    <n v="111.8"/>
    <n v="116"/>
  </r>
  <r>
    <x v="1"/>
    <x v="1"/>
    <n v="5"/>
    <x v="44"/>
    <n v="122.7"/>
    <n v="124.1"/>
    <n v="114.2"/>
    <n v="119.1"/>
    <n v="103.5"/>
    <n v="129.19999999999999"/>
    <n v="127"/>
    <n v="112.6"/>
    <n v="101.3"/>
    <n v="117"/>
    <n v="112.9"/>
    <n v="121.7"/>
    <n v="120"/>
    <n v="1.5228426395939063E-2"/>
    <n v="118.3"/>
    <n v="116.8"/>
    <n v="112.9"/>
    <n v="116.2"/>
    <n v="114.3"/>
    <n v="111.1"/>
    <n v="-2.0282186948853715E-2"/>
    <n v="114.1"/>
    <n v="111.2"/>
    <n v="-8.0285459411239216E-3"/>
    <n v="111.3"/>
    <n v="111.5"/>
    <n v="112.9"/>
    <n v="109.3"/>
    <n v="111.7"/>
    <n v="115.6"/>
  </r>
  <r>
    <x v="2"/>
    <x v="1"/>
    <n v="5"/>
    <x v="44"/>
    <n v="121.1"/>
    <n v="121.6"/>
    <n v="115.9"/>
    <n v="118.4"/>
    <n v="107.7"/>
    <n v="127.7"/>
    <n v="125"/>
    <n v="111.9"/>
    <n v="102.8"/>
    <n v="113.4"/>
    <n v="113.7"/>
    <n v="120.4"/>
    <n v="118.9"/>
    <n v="-9.1666666666666199E-3"/>
    <n v="116.8"/>
    <n v="118"/>
    <n v="115.2"/>
    <n v="117.6"/>
    <n v="114.3"/>
    <n v="112.5"/>
    <n v="1.2601260126012653E-2"/>
    <n v="114.1"/>
    <n v="111.8"/>
    <n v="5.3956834532373592E-3"/>
    <n v="111.3"/>
    <n v="111.2"/>
    <n v="113"/>
    <n v="109.1"/>
    <n v="111.8"/>
    <n v="115.8"/>
  </r>
  <r>
    <x v="0"/>
    <x v="2"/>
    <n v="5"/>
    <x v="45"/>
    <n v="123.5"/>
    <n v="127.1"/>
    <n v="117.3"/>
    <n v="127.7"/>
    <n v="112.5"/>
    <n v="134.1"/>
    <n v="128.5"/>
    <n v="124.3"/>
    <n v="97.6"/>
    <n v="120.7"/>
    <n v="120.2"/>
    <n v="129.80000000000001"/>
    <n v="124.4"/>
    <n v="4.6257359125315388E-2"/>
    <n v="126.7"/>
    <n v="127.3"/>
    <n v="124.1"/>
    <n v="126.8"/>
    <s v="NA"/>
    <n v="121.9"/>
    <n v="8.3555555555555605E-2"/>
    <n v="121.5"/>
    <n v="119.4"/>
    <n v="6.7978533094812249E-2"/>
    <n v="113.3"/>
    <n v="116.7"/>
    <n v="120.5"/>
    <n v="112.3"/>
    <n v="116.9"/>
    <n v="122.4"/>
  </r>
  <r>
    <x v="1"/>
    <x v="2"/>
    <n v="5"/>
    <x v="45"/>
    <n v="123.8"/>
    <n v="129.69999999999999"/>
    <n v="111.3"/>
    <n v="126.6"/>
    <n v="105.2"/>
    <n v="130.80000000000001"/>
    <n v="135.6"/>
    <n v="142.6"/>
    <n v="90.8"/>
    <n v="128.80000000000001"/>
    <n v="117.7"/>
    <n v="129.9"/>
    <n v="126.1"/>
    <n v="1.3665594855305375E-2"/>
    <n v="131.30000000000001"/>
    <n v="122.4"/>
    <n v="117.4"/>
    <n v="121.6"/>
    <n v="119.6"/>
    <n v="114.9"/>
    <n v="-5.7424118129614433E-2"/>
    <n v="118.7"/>
    <n v="114.9"/>
    <n v="-3.7688442211055273E-2"/>
    <n v="110.8"/>
    <n v="116"/>
    <n v="122"/>
    <n v="112.4"/>
    <n v="115.2"/>
    <n v="120.7"/>
  </r>
  <r>
    <x v="2"/>
    <x v="2"/>
    <n v="5"/>
    <x v="45"/>
    <n v="123.6"/>
    <n v="128"/>
    <n v="115"/>
    <n v="127.3"/>
    <n v="109.8"/>
    <n v="132.6"/>
    <n v="130.9"/>
    <n v="130.5"/>
    <n v="95.3"/>
    <n v="123.4"/>
    <n v="119.2"/>
    <n v="129.80000000000001"/>
    <n v="125"/>
    <n v="-8.7232355273591938E-3"/>
    <n v="127.9"/>
    <n v="125.4"/>
    <n v="121.3"/>
    <n v="124.7"/>
    <n v="119.6"/>
    <n v="119.2"/>
    <n v="3.7423846823324607E-2"/>
    <n v="120.2"/>
    <n v="117.7"/>
    <n v="2.4369016536118338E-2"/>
    <n v="112"/>
    <n v="116.3"/>
    <n v="121.4"/>
    <n v="112.3"/>
    <n v="116.1"/>
    <n v="121.6"/>
  </r>
  <r>
    <x v="0"/>
    <x v="3"/>
    <n v="5"/>
    <x v="46"/>
    <n v="127.6"/>
    <n v="137.5"/>
    <n v="124.4"/>
    <n v="132.4"/>
    <n v="118.2"/>
    <n v="138.1"/>
    <n v="141.80000000000001"/>
    <n v="166"/>
    <n v="107.5"/>
    <n v="132.19999999999999"/>
    <n v="126.1"/>
    <n v="138.30000000000001"/>
    <n v="133.6"/>
    <n v="6.8799999999999958E-2"/>
    <n v="136"/>
    <n v="135.4"/>
    <n v="131.1"/>
    <n v="134.80000000000001"/>
    <s v="NA"/>
    <n v="127.4"/>
    <n v="6.8791946308724858E-2"/>
    <n v="128.5"/>
    <n v="125.8"/>
    <n v="6.8819031435853814E-2"/>
    <n v="115.1"/>
    <n v="123.6"/>
    <n v="129.1"/>
    <n v="119.7"/>
    <n v="122.5"/>
    <n v="130.30000000000001"/>
  </r>
  <r>
    <x v="1"/>
    <x v="3"/>
    <n v="5"/>
    <x v="46"/>
    <n v="125"/>
    <n v="142.1"/>
    <n v="127"/>
    <n v="130.4"/>
    <n v="109.6"/>
    <n v="133.5"/>
    <n v="151.4"/>
    <n v="182.8"/>
    <n v="111.1"/>
    <n v="141.5"/>
    <n v="121.5"/>
    <n v="136.30000000000001"/>
    <n v="134.6"/>
    <n v="7.4850299401197605E-3"/>
    <n v="142.19999999999999"/>
    <n v="127.2"/>
    <n v="120.7"/>
    <n v="126.2"/>
    <n v="126"/>
    <n v="115"/>
    <n v="-9.7331240188383086E-2"/>
    <n v="123.2"/>
    <n v="120.3"/>
    <n v="-4.372019077901431E-2"/>
    <n v="110.7"/>
    <n v="119.8"/>
    <n v="128"/>
    <n v="118.5"/>
    <n v="118.7"/>
    <n v="126.6"/>
  </r>
  <r>
    <x v="2"/>
    <x v="3"/>
    <n v="5"/>
    <x v="46"/>
    <n v="126.8"/>
    <n v="139.1"/>
    <n v="125.4"/>
    <n v="131.69999999999999"/>
    <n v="115"/>
    <n v="136"/>
    <n v="145.1"/>
    <n v="171.7"/>
    <n v="108.7"/>
    <n v="135.30000000000001"/>
    <n v="124.2"/>
    <n v="137.4"/>
    <n v="134"/>
    <n v="-4.4576523031203148E-3"/>
    <n v="137.69999999999999"/>
    <n v="132.19999999999999"/>
    <n v="126.8"/>
    <n v="131.4"/>
    <n v="126"/>
    <n v="122.7"/>
    <n v="6.6956521739130456E-2"/>
    <n v="126"/>
    <n v="123.7"/>
    <n v="2.8262676641729059E-2"/>
    <n v="112.8"/>
    <n v="121.5"/>
    <n v="128.5"/>
    <n v="119.2"/>
    <n v="120.7"/>
    <n v="128.6"/>
  </r>
  <r>
    <x v="0"/>
    <x v="4"/>
    <n v="5"/>
    <x v="47"/>
    <n v="133.1"/>
    <n v="140.30000000000001"/>
    <n v="126.8"/>
    <n v="138.19999999999999"/>
    <n v="120.8"/>
    <n v="140.19999999999999"/>
    <n v="123.8"/>
    <n v="141.80000000000001"/>
    <n v="118.6"/>
    <n v="134"/>
    <n v="130.30000000000001"/>
    <n v="145.80000000000001"/>
    <n v="133.80000000000001"/>
    <n v="-1.4925373134327511E-3"/>
    <n v="145.5"/>
    <n v="142.5"/>
    <n v="137.30000000000001"/>
    <n v="141.80000000000001"/>
    <s v="NA"/>
    <n v="135"/>
    <n v="0.10024449877750609"/>
    <n v="134.9"/>
    <n v="131.4"/>
    <n v="6.2247372675828638E-2"/>
    <n v="119.4"/>
    <n v="129.4"/>
    <n v="136.30000000000001"/>
    <n v="123.7"/>
    <n v="127.9"/>
    <n v="133.30000000000001"/>
  </r>
  <r>
    <x v="1"/>
    <x v="4"/>
    <n v="5"/>
    <x v="47"/>
    <n v="132.6"/>
    <n v="144.1"/>
    <n v="125.6"/>
    <n v="136.80000000000001"/>
    <n v="113.4"/>
    <n v="135.19999999999999"/>
    <n v="129.19999999999999"/>
    <n v="131.5"/>
    <n v="121"/>
    <n v="139.9"/>
    <n v="123.8"/>
    <n v="142.9"/>
    <n v="133.6"/>
    <n v="-1.494768310911936E-3"/>
    <n v="148.30000000000001"/>
    <n v="131.5"/>
    <n v="123.2"/>
    <n v="130.19999999999999"/>
    <n v="132.1"/>
    <n v="120.1"/>
    <n v="-0.11037037037037041"/>
    <n v="126.5"/>
    <n v="123.6"/>
    <n v="-5.9360730593607393E-2"/>
    <n v="114.3"/>
    <n v="122.8"/>
    <n v="133.80000000000001"/>
    <n v="122"/>
    <n v="122.6"/>
    <n v="129.30000000000001"/>
  </r>
  <r>
    <x v="2"/>
    <x v="4"/>
    <n v="5"/>
    <x v="47"/>
    <n v="132.9"/>
    <n v="141.6"/>
    <n v="126.3"/>
    <n v="137.69999999999999"/>
    <n v="118.1"/>
    <n v="137.9"/>
    <n v="125.6"/>
    <n v="138.30000000000001"/>
    <n v="119.4"/>
    <n v="136"/>
    <n v="127.6"/>
    <n v="144.5"/>
    <n v="133.69999999999999"/>
    <n v="7.4850299401193348E-4"/>
    <n v="146.19999999999999"/>
    <n v="138.19999999999999"/>
    <n v="131.4"/>
    <n v="137.19999999999999"/>
    <n v="132.1"/>
    <n v="129.4"/>
    <n v="7.7435470441299017E-2"/>
    <n v="130.9"/>
    <n v="128.4"/>
    <n v="3.8834951456310773E-2"/>
    <n v="116.7"/>
    <n v="125.7"/>
    <n v="134.80000000000001"/>
    <n v="123"/>
    <n v="125.3"/>
    <n v="131.4"/>
  </r>
  <r>
    <x v="0"/>
    <x v="5"/>
    <n v="5"/>
    <x v="48"/>
    <n v="137.4"/>
    <n v="145.69999999999999"/>
    <n v="135.5"/>
    <n v="142.9"/>
    <n v="123.6"/>
    <n v="157.5"/>
    <n v="137.80000000000001"/>
    <n v="127.2"/>
    <n v="111.8"/>
    <n v="137.4"/>
    <n v="132.19999999999999"/>
    <n v="154.30000000000001"/>
    <n v="139.1"/>
    <n v="4.0388930441286511E-2"/>
    <n v="157"/>
    <n v="150.80000000000001"/>
    <n v="144.1"/>
    <n v="149.80000000000001"/>
    <s v="NA"/>
    <n v="144.30000000000001"/>
    <n v="0.11514683153013915"/>
    <n v="141.80000000000001"/>
    <n v="138.4"/>
    <n v="7.7881619937694699E-2"/>
    <n v="126.4"/>
    <n v="136.80000000000001"/>
    <n v="144.4"/>
    <n v="131.19999999999999"/>
    <n v="135.1"/>
    <n v="139.80000000000001"/>
  </r>
  <r>
    <x v="1"/>
    <x v="5"/>
    <n v="5"/>
    <x v="48"/>
    <n v="135"/>
    <n v="148.19999999999999"/>
    <n v="130.5"/>
    <n v="140.69999999999999"/>
    <n v="116.4"/>
    <n v="151.30000000000001"/>
    <n v="131.4"/>
    <n v="112.8"/>
    <n v="105.3"/>
    <n v="139.6"/>
    <n v="126.6"/>
    <n v="148.69999999999999"/>
    <n v="136.4"/>
    <n v="-1.9410496046009983E-2"/>
    <n v="160.30000000000001"/>
    <n v="138.6"/>
    <n v="127.9"/>
    <n v="137"/>
    <n v="143.19999999999999"/>
    <n v="124.7"/>
    <n v="-0.13582813582813588"/>
    <n v="132.5"/>
    <n v="132"/>
    <n v="-4.6242774566474028E-2"/>
    <n v="119.8"/>
    <n v="128"/>
    <n v="140.4"/>
    <n v="128.1"/>
    <n v="128.9"/>
    <n v="135.4"/>
  </r>
  <r>
    <x v="2"/>
    <x v="5"/>
    <n v="5"/>
    <x v="48"/>
    <n v="136.6"/>
    <n v="146.6"/>
    <n v="133.6"/>
    <n v="142.1"/>
    <n v="121"/>
    <n v="154.6"/>
    <n v="135.6"/>
    <n v="122.3"/>
    <n v="109.6"/>
    <n v="138.1"/>
    <n v="129.9"/>
    <n v="151.69999999999999"/>
    <n v="138.1"/>
    <n v="1.2463343108504315E-2"/>
    <n v="157.9"/>
    <n v="146"/>
    <n v="137.4"/>
    <n v="144.69999999999999"/>
    <n v="143.19999999999999"/>
    <n v="136.9"/>
    <n v="9.783480352846835E-2"/>
    <n v="137.4"/>
    <n v="136"/>
    <n v="3.0303030303030304E-2"/>
    <n v="122.9"/>
    <n v="131.80000000000001"/>
    <n v="142.1"/>
    <n v="129.9"/>
    <n v="132.1"/>
    <n v="137.80000000000001"/>
  </r>
  <r>
    <x v="0"/>
    <x v="6"/>
    <n v="5"/>
    <x v="49"/>
    <n v="137.4"/>
    <n v="159.5"/>
    <n v="134.5"/>
    <n v="142.6"/>
    <n v="124"/>
    <n v="143.69999999999999"/>
    <n v="133.4"/>
    <n v="125.1"/>
    <n v="109.3"/>
    <n v="139.30000000000001"/>
    <n v="137.69999999999999"/>
    <n v="156.4"/>
    <n v="139.19999999999999"/>
    <n v="7.9652425778421031E-3"/>
    <n v="163.30000000000001"/>
    <n v="151.30000000000001"/>
    <n v="146.6"/>
    <n v="150.69999999999999"/>
    <s v="NA"/>
    <n v="146.9"/>
    <n v="7.3046018991964931E-2"/>
    <n v="149.5"/>
    <n v="151.30000000000001"/>
    <n v="0.11250000000000009"/>
    <n v="130.19999999999999"/>
    <n v="145.9"/>
    <n v="156.69999999999999"/>
    <n v="133.9"/>
    <n v="142.9"/>
    <n v="142.4"/>
  </r>
  <r>
    <x v="1"/>
    <x v="6"/>
    <n v="5"/>
    <x v="49"/>
    <n v="140.4"/>
    <n v="156.69999999999999"/>
    <n v="138.30000000000001"/>
    <n v="142.4"/>
    <n v="118.6"/>
    <n v="149.69999999999999"/>
    <n v="161.6"/>
    <n v="124.4"/>
    <n v="111.2"/>
    <n v="141"/>
    <n v="128.9"/>
    <n v="154.5"/>
    <n v="143.80000000000001"/>
    <n v="3.3045977011494421E-2"/>
    <n v="166.2"/>
    <n v="144"/>
    <n v="131.69999999999999"/>
    <n v="142.19999999999999"/>
    <n v="150.1"/>
    <n v="129.4"/>
    <n v="-0.1191286589516678"/>
    <n v="137.19999999999999"/>
    <n v="139.80000000000001"/>
    <n v="-7.6007931262392595E-2"/>
    <n v="120.1"/>
    <n v="134"/>
    <n v="148"/>
    <n v="132.6"/>
    <n v="133.30000000000001"/>
    <n v="141.5"/>
  </r>
  <r>
    <x v="2"/>
    <x v="6"/>
    <n v="5"/>
    <x v="49"/>
    <n v="138.30000000000001"/>
    <n v="158.5"/>
    <n v="136"/>
    <n v="142.5"/>
    <n v="122"/>
    <n v="146.5"/>
    <n v="143"/>
    <n v="124.9"/>
    <n v="109.9"/>
    <n v="139.9"/>
    <n v="134"/>
    <n v="155.5"/>
    <n v="140.9"/>
    <n v="-2.0166898470097394E-2"/>
    <n v="164.1"/>
    <n v="148.4"/>
    <n v="140.4"/>
    <n v="147.30000000000001"/>
    <n v="150.1"/>
    <n v="140.30000000000001"/>
    <n v="8.4234930448222611E-2"/>
    <n v="143.69999999999999"/>
    <n v="146.9"/>
    <n v="5.0786838340486362E-2"/>
    <n v="124.9"/>
    <n v="139.19999999999999"/>
    <n v="151.6"/>
    <n v="133.4"/>
    <n v="138.19999999999999"/>
    <n v="142"/>
  </r>
  <r>
    <x v="0"/>
    <x v="7"/>
    <n v="5"/>
    <x v="50"/>
    <n v="144.9"/>
    <n v="167.2"/>
    <n v="149.69999999999999"/>
    <n v="152.19999999999999"/>
    <n v="134"/>
    <n v="143"/>
    <n v="167.9"/>
    <n v="143.69999999999999"/>
    <n v="114.8"/>
    <n v="154.30000000000001"/>
    <n v="139.80000000000001"/>
    <n v="159.30000000000001"/>
    <n v="150.30000000000001"/>
    <n v="6.6713981547196627E-2"/>
    <n v="169.5"/>
    <n v="153.1"/>
    <n v="147.5"/>
    <n v="152.30000000000001"/>
    <s v="NA"/>
    <n v="151.1"/>
    <n v="7.6977904490377641E-2"/>
    <n v="151.69999999999999"/>
    <n v="155.69999999999999"/>
    <n v="5.9904697072838548E-2"/>
    <n v="136"/>
    <n v="150.6"/>
    <n v="161.6"/>
    <n v="143.69999999999999"/>
    <n v="148.4"/>
    <n v="150.69999999999999"/>
  </r>
  <r>
    <x v="1"/>
    <x v="7"/>
    <n v="5"/>
    <x v="50"/>
    <n v="147.5"/>
    <n v="167.6"/>
    <n v="152.69999999999999"/>
    <n v="151.69999999999999"/>
    <n v="128.19999999999999"/>
    <n v="145.9"/>
    <n v="184.1"/>
    <n v="142.30000000000001"/>
    <n v="116.3"/>
    <n v="151.4"/>
    <n v="132"/>
    <n v="158.9"/>
    <n v="152.4"/>
    <n v="1.3972055888223514E-2"/>
    <n v="172"/>
    <n v="147.30000000000001"/>
    <n v="133.5"/>
    <n v="145.19999999999999"/>
    <n v="154.69999999999999"/>
    <n v="138.1"/>
    <n v="-8.6035737921906025E-2"/>
    <n v="140.4"/>
    <n v="144.5"/>
    <n v="-7.1933204881181698E-2"/>
    <n v="125.3"/>
    <n v="137.6"/>
    <n v="152.30000000000001"/>
    <n v="143.6"/>
    <n v="138.5"/>
    <n v="147.69999999999999"/>
  </r>
  <r>
    <x v="2"/>
    <x v="7"/>
    <n v="5"/>
    <x v="50"/>
    <n v="145.69999999999999"/>
    <n v="167.3"/>
    <n v="150.9"/>
    <n v="152"/>
    <n v="131.9"/>
    <n v="144.4"/>
    <n v="173.4"/>
    <n v="143.30000000000001"/>
    <n v="115.3"/>
    <n v="153.30000000000001"/>
    <n v="136.5"/>
    <n v="159.1"/>
    <n v="151.1"/>
    <n v="-8.5301837270341952E-3"/>
    <n v="170.2"/>
    <n v="150.80000000000001"/>
    <n v="141.69999999999999"/>
    <n v="149.5"/>
    <n v="154.69999999999999"/>
    <n v="146.19999999999999"/>
    <n v="5.8653149891383018E-2"/>
    <n v="146.30000000000001"/>
    <n v="151.5"/>
    <n v="4.8442906574394463E-2"/>
    <n v="130.4"/>
    <n v="143.19999999999999"/>
    <n v="156.1"/>
    <n v="143.6"/>
    <n v="143.6"/>
    <n v="149.30000000000001"/>
  </r>
  <r>
    <x v="0"/>
    <x v="8"/>
    <n v="5"/>
    <x v="51"/>
    <n v="145.1"/>
    <n v="198.5"/>
    <n v="168.6"/>
    <n v="155.80000000000001"/>
    <n v="184.4"/>
    <n v="162.30000000000001"/>
    <n v="138.4"/>
    <n v="165.1"/>
    <n v="114.3"/>
    <n v="169.7"/>
    <n v="164.6"/>
    <n v="169.8"/>
    <n v="158.69999999999999"/>
    <n v="5.0297816015883484E-2"/>
    <n v="189.6"/>
    <n v="165.3"/>
    <n v="160.6"/>
    <n v="164.5"/>
    <s v="NA"/>
    <n v="161.69999999999999"/>
    <n v="0.10601915184678523"/>
    <n v="158.80000000000001"/>
    <n v="169.1"/>
    <n v="0.11617161716171613"/>
    <n v="153.19999999999999"/>
    <n v="160"/>
    <n v="167.6"/>
    <n v="159.30000000000001"/>
    <n v="161.1"/>
    <n v="161.1"/>
  </r>
  <r>
    <x v="1"/>
    <x v="8"/>
    <n v="5"/>
    <x v="51"/>
    <n v="148.80000000000001"/>
    <n v="204.3"/>
    <n v="173"/>
    <n v="156.5"/>
    <n v="168.8"/>
    <n v="172.5"/>
    <n v="166.5"/>
    <n v="165.9"/>
    <n v="115.9"/>
    <n v="165.2"/>
    <n v="152"/>
    <n v="171.1"/>
    <n v="164.2"/>
    <n v="3.4656584751102712E-2"/>
    <n v="198.2"/>
    <n v="156.5"/>
    <n v="140.19999999999999"/>
    <n v="154.1"/>
    <n v="161.6"/>
    <n v="155.5"/>
    <n v="-3.8342609771181133E-2"/>
    <n v="150.1"/>
    <n v="160.4"/>
    <n v="-5.1448846836191539E-2"/>
    <n v="145"/>
    <n v="152.6"/>
    <n v="156.6"/>
    <n v="157.5"/>
    <n v="152.30000000000001"/>
    <n v="159.5"/>
  </r>
  <r>
    <x v="2"/>
    <x v="8"/>
    <n v="5"/>
    <x v="51"/>
    <n v="146.30000000000001"/>
    <n v="200.5"/>
    <n v="170.3"/>
    <n v="156.1"/>
    <n v="178.7"/>
    <n v="167.1"/>
    <n v="147.9"/>
    <n v="165.4"/>
    <n v="114.8"/>
    <n v="168.2"/>
    <n v="159.30000000000001"/>
    <n v="170.4"/>
    <n v="160.69999999999999"/>
    <n v="-2.131546894031669E-2"/>
    <n v="191.9"/>
    <n v="161.80000000000001"/>
    <n v="152.1"/>
    <n v="160.4"/>
    <n v="161.6"/>
    <n v="159.4"/>
    <n v="2.5080385852090069E-2"/>
    <n v="154.69999999999999"/>
    <n v="165.8"/>
    <n v="3.3665835411471355E-2"/>
    <n v="148.9"/>
    <n v="155.80000000000001"/>
    <n v="161.19999999999999"/>
    <n v="158.6"/>
    <n v="156.80000000000001"/>
    <n v="160.4"/>
  </r>
  <r>
    <x v="0"/>
    <x v="9"/>
    <n v="5"/>
    <x v="52"/>
    <n v="152.9"/>
    <n v="214.7"/>
    <n v="161.4"/>
    <n v="164.6"/>
    <n v="209.9"/>
    <n v="168"/>
    <n v="160.4"/>
    <n v="165"/>
    <n v="118.9"/>
    <n v="186.6"/>
    <n v="173.2"/>
    <n v="180.4"/>
    <n v="170.8"/>
    <n v="6.2850031113876936E-2"/>
    <n v="192.9"/>
    <n v="179.3"/>
    <n v="177.2"/>
    <n v="179"/>
    <s v="NA"/>
    <n v="175.3"/>
    <n v="9.9749058971141807E-2"/>
    <n v="168.9"/>
    <n v="177.7"/>
    <n v="7.1773220747888875E-2"/>
    <n v="167.1"/>
    <n v="167.6"/>
    <n v="171.8"/>
    <n v="168.5"/>
    <n v="170.9"/>
    <n v="172.5"/>
  </r>
  <r>
    <x v="1"/>
    <x v="9"/>
    <n v="5"/>
    <x v="52"/>
    <n v="156.69999999999999"/>
    <n v="221.2"/>
    <n v="164.1"/>
    <n v="165.4"/>
    <n v="189.5"/>
    <n v="174.5"/>
    <n v="203.2"/>
    <n v="164.1"/>
    <n v="121.2"/>
    <n v="181.4"/>
    <n v="158.5"/>
    <n v="184.9"/>
    <n v="177.5"/>
    <n v="3.9227166276346537E-2"/>
    <n v="197.5"/>
    <n v="170"/>
    <n v="155.9"/>
    <n v="167.8"/>
    <n v="167.5"/>
    <n v="173.5"/>
    <n v="-1.0268111808328644E-2"/>
    <n v="161.1"/>
    <n v="170.1"/>
    <n v="-4.2768711311198623E-2"/>
    <n v="159.4"/>
    <n v="163.19999999999999"/>
    <n v="165.2"/>
    <n v="168.2"/>
    <n v="163.80000000000001"/>
    <n v="170.8"/>
  </r>
  <r>
    <x v="2"/>
    <x v="9"/>
    <n v="5"/>
    <x v="52"/>
    <n v="154.1"/>
    <n v="217"/>
    <n v="162.4"/>
    <n v="164.9"/>
    <n v="202.4"/>
    <n v="171"/>
    <n v="174.9"/>
    <n v="164.7"/>
    <n v="119.7"/>
    <n v="184.9"/>
    <n v="167.1"/>
    <n v="182.5"/>
    <n v="173.3"/>
    <n v="-2.366197183098585E-2"/>
    <n v="194.1"/>
    <n v="175.6"/>
    <n v="168.4"/>
    <n v="174.6"/>
    <n v="167.5"/>
    <n v="174.6"/>
    <n v="6.3400576368875753E-3"/>
    <n v="165.2"/>
    <n v="174.8"/>
    <n v="2.7630805408583287E-2"/>
    <n v="163"/>
    <n v="165.1"/>
    <n v="167.9"/>
    <n v="168.4"/>
    <n v="167.5"/>
    <n v="171.7"/>
  </r>
  <r>
    <x v="0"/>
    <x v="10"/>
    <n v="5"/>
    <x v="53"/>
    <n v="173.2"/>
    <n v="211.5"/>
    <n v="171"/>
    <n v="179.6"/>
    <n v="173.3"/>
    <n v="169"/>
    <n v="148.69999999999999"/>
    <n v="174.9"/>
    <n v="121.9"/>
    <n v="221"/>
    <n v="178.7"/>
    <n v="191.1"/>
    <n v="176.8"/>
    <n v="2.0196191575302943E-2"/>
    <n v="199.9"/>
    <n v="191.2"/>
    <n v="187.9"/>
    <n v="190.8"/>
    <s v="NA"/>
    <n v="182.5"/>
    <n v="4.5246277205040125E-2"/>
    <n v="179.8"/>
    <n v="187.8"/>
    <n v="7.4370709382151026E-2"/>
    <n v="169.7"/>
    <n v="173.8"/>
    <n v="180.3"/>
    <n v="184.9"/>
    <n v="179.5"/>
    <n v="179.8"/>
  </r>
  <r>
    <x v="1"/>
    <x v="10"/>
    <n v="5"/>
    <x v="53"/>
    <n v="174.7"/>
    <n v="219.4"/>
    <n v="176.7"/>
    <n v="179.4"/>
    <n v="164.4"/>
    <n v="175.8"/>
    <n v="185"/>
    <n v="176.9"/>
    <n v="124.2"/>
    <n v="211.9"/>
    <n v="165.9"/>
    <n v="197.7"/>
    <n v="183.1"/>
    <n v="3.5633484162895829E-2"/>
    <n v="204.2"/>
    <n v="181.3"/>
    <n v="168.1"/>
    <n v="179.3"/>
    <n v="175.6"/>
    <n v="183.4"/>
    <n v="4.9315068493150996E-3"/>
    <n v="170.1"/>
    <n v="182.2"/>
    <n v="-2.9818956336528341E-2"/>
    <n v="160.4"/>
    <n v="169.2"/>
    <n v="174.8"/>
    <n v="185.6"/>
    <n v="171.6"/>
    <n v="178.2"/>
  </r>
  <r>
    <x v="2"/>
    <x v="10"/>
    <n v="5"/>
    <x v="53"/>
    <n v="173.7"/>
    <n v="214.3"/>
    <n v="173.2"/>
    <n v="179.5"/>
    <n v="170"/>
    <n v="172.2"/>
    <n v="161"/>
    <n v="175.6"/>
    <n v="122.7"/>
    <n v="218"/>
    <n v="173.4"/>
    <n v="194.2"/>
    <n v="179.1"/>
    <n v="-2.1845985800109231E-2"/>
    <n v="201"/>
    <n v="187.3"/>
    <n v="179.7"/>
    <n v="186.2"/>
    <n v="175.6"/>
    <n v="182.8"/>
    <n v="-3.2715376226826296E-3"/>
    <n v="175.2"/>
    <n v="185.7"/>
    <n v="1.9209659714599342E-2"/>
    <n v="164.8"/>
    <n v="171.2"/>
    <n v="177.1"/>
    <n v="185.2"/>
    <n v="175.7"/>
    <n v="179.1"/>
  </r>
  <r>
    <x v="0"/>
    <x v="0"/>
    <n v="6"/>
    <x v="54"/>
    <n v="112.3"/>
    <n v="112.1"/>
    <n v="108.1"/>
    <n v="108.3"/>
    <n v="105.9"/>
    <n v="109.2"/>
    <n v="118"/>
    <n v="106.8"/>
    <n v="104.1"/>
    <n v="105.4"/>
    <n v="108.2"/>
    <n v="111"/>
    <n v="110.6"/>
    <n v="-0.3824678950307091"/>
    <n v="109"/>
    <n v="109.7"/>
    <n v="108.8"/>
    <n v="109.5"/>
    <s v="NA"/>
    <n v="108.5"/>
    <n v="-0.40645514223194751"/>
    <n v="107.5"/>
    <n v="106.3"/>
    <n v="-0.42757135164243404"/>
    <n v="105"/>
    <n v="105.6"/>
    <n v="106.5"/>
    <n v="102.5"/>
    <n v="105.5"/>
    <n v="108.9"/>
  </r>
  <r>
    <x v="1"/>
    <x v="0"/>
    <n v="6"/>
    <x v="54"/>
    <n v="117"/>
    <n v="120.1"/>
    <n v="112.5"/>
    <n v="107.3"/>
    <n v="101.3"/>
    <n v="112.4"/>
    <n v="143.6"/>
    <n v="105.4"/>
    <n v="101.4"/>
    <n v="106.4"/>
    <n v="110"/>
    <n v="112.2"/>
    <n v="115"/>
    <n v="3.978300180831832E-2"/>
    <n v="110.9"/>
    <n v="109.2"/>
    <n v="107.2"/>
    <n v="108.9"/>
    <n v="106.6"/>
    <n v="108"/>
    <n v="-4.608294930875576E-3"/>
    <n v="107.7"/>
    <n v="106.5"/>
    <n v="1.8814675446848809E-3"/>
    <n v="105.2"/>
    <n v="105.2"/>
    <n v="108.1"/>
    <n v="103.3"/>
    <n v="106.1"/>
    <n v="109.7"/>
  </r>
  <r>
    <x v="2"/>
    <x v="0"/>
    <n v="6"/>
    <x v="54"/>
    <n v="113.8"/>
    <n v="114.9"/>
    <n v="109.8"/>
    <n v="107.9"/>
    <n v="104.2"/>
    <n v="110.7"/>
    <n v="126.7"/>
    <n v="106.3"/>
    <n v="103.2"/>
    <n v="105.7"/>
    <n v="109"/>
    <n v="111.6"/>
    <n v="112.2"/>
    <n v="-2.4347826086956497E-2"/>
    <n v="109.5"/>
    <n v="109.5"/>
    <n v="108.1"/>
    <n v="109.3"/>
    <n v="106.6"/>
    <n v="108.3"/>
    <n v="2.7777777777777514E-3"/>
    <n v="107.6"/>
    <n v="106.4"/>
    <n v="-9.3896713615018138E-4"/>
    <n v="105.1"/>
    <n v="105.4"/>
    <n v="107.4"/>
    <n v="102.8"/>
    <n v="105.8"/>
    <n v="109.3"/>
  </r>
  <r>
    <x v="0"/>
    <x v="1"/>
    <n v="6"/>
    <x v="55"/>
    <n v="120.7"/>
    <n v="121.6"/>
    <n v="116.1"/>
    <n v="119.3"/>
    <n v="110.3"/>
    <n v="125.8"/>
    <n v="129.30000000000001"/>
    <n v="112.2"/>
    <n v="103.6"/>
    <n v="112.3"/>
    <n v="114.9"/>
    <n v="120.1"/>
    <n v="119.5"/>
    <n v="6.506238859180033E-2"/>
    <n v="117.3"/>
    <n v="119.7"/>
    <n v="117.3"/>
    <n v="119.3"/>
    <s v="NA"/>
    <n v="114.4"/>
    <n v="5.6325023084025934E-2"/>
    <n v="114.9"/>
    <n v="112.8"/>
    <n v="6.0150375939849537E-2"/>
    <n v="112.2"/>
    <n v="111.4"/>
    <n v="114.3"/>
    <n v="108"/>
    <n v="112.3"/>
    <n v="117"/>
  </r>
  <r>
    <x v="1"/>
    <x v="1"/>
    <n v="6"/>
    <x v="55"/>
    <n v="123.1"/>
    <n v="125.9"/>
    <n v="115.4"/>
    <n v="120.4"/>
    <n v="103.4"/>
    <n v="131.19999999999999"/>
    <n v="137.5"/>
    <n v="112.8"/>
    <n v="101.4"/>
    <n v="118.3"/>
    <n v="113.2"/>
    <n v="122.4"/>
    <n v="122"/>
    <n v="2.0920502092050208E-2"/>
    <n v="119"/>
    <n v="117.4"/>
    <n v="113.2"/>
    <n v="116.7"/>
    <n v="113.9"/>
    <n v="111.2"/>
    <n v="-2.7972027972027996E-2"/>
    <n v="114.3"/>
    <n v="111.4"/>
    <n v="-1.2411347517730421E-2"/>
    <n v="111.5"/>
    <n v="111.8"/>
    <n v="115.1"/>
    <n v="108.7"/>
    <n v="112.2"/>
    <n v="116.4"/>
  </r>
  <r>
    <x v="2"/>
    <x v="1"/>
    <n v="6"/>
    <x v="55"/>
    <n v="121.5"/>
    <n v="123.1"/>
    <n v="115.8"/>
    <n v="119.7"/>
    <n v="107.8"/>
    <n v="128.30000000000001"/>
    <n v="132.1"/>
    <n v="112.4"/>
    <n v="102.9"/>
    <n v="114.3"/>
    <n v="114.2"/>
    <n v="121.2"/>
    <n v="120.4"/>
    <n v="-1.3114754098360609E-2"/>
    <n v="117.8"/>
    <n v="118.8"/>
    <n v="115.6"/>
    <n v="118.3"/>
    <n v="113.9"/>
    <n v="113.2"/>
    <n v="1.7985611510791366E-2"/>
    <n v="114.6"/>
    <n v="112.3"/>
    <n v="8.0789946140035138E-3"/>
    <n v="111.8"/>
    <n v="111.6"/>
    <n v="114.8"/>
    <n v="108.3"/>
    <n v="112.3"/>
    <n v="116.7"/>
  </r>
  <r>
    <x v="0"/>
    <x v="2"/>
    <n v="6"/>
    <x v="56"/>
    <n v="124.1"/>
    <n v="130.4"/>
    <n v="122.1"/>
    <n v="128.69999999999999"/>
    <n v="114.1"/>
    <n v="133.19999999999999"/>
    <n v="135.19999999999999"/>
    <n v="131.9"/>
    <n v="96.3"/>
    <n v="123"/>
    <n v="121.1"/>
    <n v="131.19999999999999"/>
    <n v="126.6"/>
    <n v="5.1495016611295581E-2"/>
    <n v="128.19999999999999"/>
    <n v="128.4"/>
    <n v="125.1"/>
    <n v="128"/>
    <s v="NA"/>
    <n v="122.6"/>
    <n v="8.3038869257950454E-2"/>
    <n v="122.8"/>
    <n v="120.4"/>
    <n v="7.2128227960819316E-2"/>
    <n v="114.2"/>
    <n v="117.9"/>
    <n v="122"/>
    <n v="113"/>
    <n v="117.9"/>
    <n v="124.1"/>
  </r>
  <r>
    <x v="1"/>
    <x v="2"/>
    <n v="6"/>
    <x v="56"/>
    <n v="123.6"/>
    <n v="134.4"/>
    <n v="120.9"/>
    <n v="127.3"/>
    <n v="106"/>
    <n v="132.30000000000001"/>
    <n v="146.69999999999999"/>
    <n v="148.1"/>
    <n v="89.8"/>
    <n v="130.5"/>
    <n v="118"/>
    <n v="130.5"/>
    <n v="128.5"/>
    <n v="1.5007898894154863E-2"/>
    <n v="132.1"/>
    <n v="123.2"/>
    <n v="117.6"/>
    <n v="122.3"/>
    <n v="119"/>
    <n v="115.1"/>
    <n v="-6.1174551386623165E-2"/>
    <n v="119.2"/>
    <n v="115.4"/>
    <n v="-4.1528239202657809E-2"/>
    <n v="111.7"/>
    <n v="116.2"/>
    <n v="123.8"/>
    <n v="112.5"/>
    <n v="116"/>
    <n v="121.7"/>
  </r>
  <r>
    <x v="2"/>
    <x v="2"/>
    <n v="6"/>
    <x v="56"/>
    <n v="123.9"/>
    <n v="131.80000000000001"/>
    <n v="121.6"/>
    <n v="128.19999999999999"/>
    <n v="111.1"/>
    <n v="132.80000000000001"/>
    <n v="139.1"/>
    <n v="137.4"/>
    <n v="94.1"/>
    <n v="125.5"/>
    <n v="119.8"/>
    <n v="130.9"/>
    <n v="127.3"/>
    <n v="-9.3385214007782325E-3"/>
    <n v="129.19999999999999"/>
    <n v="126.4"/>
    <n v="122"/>
    <n v="125.7"/>
    <n v="119"/>
    <n v="119.8"/>
    <n v="4.0834057341442249E-2"/>
    <n v="121.1"/>
    <n v="118.5"/>
    <n v="2.6863084922010349E-2"/>
    <n v="112.9"/>
    <n v="116.9"/>
    <n v="123.1"/>
    <n v="112.8"/>
    <n v="117"/>
    <n v="123"/>
  </r>
  <r>
    <x v="0"/>
    <x v="3"/>
    <n v="6"/>
    <x v="57"/>
    <n v="128.6"/>
    <n v="138.6"/>
    <n v="126.6"/>
    <n v="133.6"/>
    <n v="118.6"/>
    <n v="137.4"/>
    <n v="152.5"/>
    <n v="169.2"/>
    <n v="108.8"/>
    <n v="133.1"/>
    <n v="126.4"/>
    <n v="139.19999999999999"/>
    <n v="136"/>
    <n v="6.8342498036135138E-2"/>
    <n v="137.19999999999999"/>
    <n v="136.30000000000001"/>
    <n v="131.6"/>
    <n v="135.6"/>
    <s v="NA"/>
    <n v="128"/>
    <n v="6.8447412353923237E-2"/>
    <n v="129.30000000000001"/>
    <n v="126.2"/>
    <n v="6.497890295358652E-2"/>
    <n v="116.3"/>
    <n v="124.1"/>
    <n v="130.19999999999999"/>
    <n v="119.9"/>
    <n v="123.3"/>
    <n v="131.9"/>
  </r>
  <r>
    <x v="1"/>
    <x v="3"/>
    <n v="6"/>
    <x v="57"/>
    <n v="125.9"/>
    <n v="143.9"/>
    <n v="130.9"/>
    <n v="131"/>
    <n v="110.2"/>
    <n v="135.5"/>
    <n v="173.7"/>
    <n v="184.4"/>
    <n v="112"/>
    <n v="142.80000000000001"/>
    <n v="121.6"/>
    <n v="136.9"/>
    <n v="138.19999999999999"/>
    <n v="1.6176470588235209E-2"/>
    <n v="142.69999999999999"/>
    <n v="127.6"/>
    <n v="121.1"/>
    <n v="126.6"/>
    <n v="125.5"/>
    <n v="115.5"/>
    <n v="-9.765625E-2"/>
    <n v="123.2"/>
    <n v="120.6"/>
    <n v="-4.4374009508716387E-2"/>
    <n v="112.3"/>
    <n v="119.9"/>
    <n v="129.30000000000001"/>
    <n v="118.8"/>
    <n v="119.6"/>
    <n v="128.1"/>
  </r>
  <r>
    <x v="2"/>
    <x v="3"/>
    <n v="6"/>
    <x v="57"/>
    <n v="127.7"/>
    <n v="140.5"/>
    <n v="128.30000000000001"/>
    <n v="132.6"/>
    <n v="115.5"/>
    <n v="136.5"/>
    <n v="159.69999999999999"/>
    <n v="174.3"/>
    <n v="109.9"/>
    <n v="136.30000000000001"/>
    <n v="124.4"/>
    <n v="138.1"/>
    <n v="136.80000000000001"/>
    <n v="-1.0130246020260329E-2"/>
    <n v="138.69999999999999"/>
    <n v="132.9"/>
    <n v="127.2"/>
    <n v="132"/>
    <n v="125.5"/>
    <n v="123.3"/>
    <n v="6.7532467532467513E-2"/>
    <n v="126.4"/>
    <n v="124.1"/>
    <n v="2.9021558872305141E-2"/>
    <n v="114.2"/>
    <n v="121.7"/>
    <n v="129.69999999999999"/>
    <n v="119.4"/>
    <n v="121.5"/>
    <n v="130.1"/>
  </r>
  <r>
    <x v="0"/>
    <x v="4"/>
    <n v="6"/>
    <x v="58"/>
    <n v="133.5"/>
    <n v="143.69999999999999"/>
    <n v="128"/>
    <n v="138.6"/>
    <n v="120.9"/>
    <n v="140.9"/>
    <n v="128.80000000000001"/>
    <n v="140.19999999999999"/>
    <n v="118.9"/>
    <n v="133.5"/>
    <n v="130.4"/>
    <n v="146.5"/>
    <n v="134.9"/>
    <n v="-1.388888888888893E-2"/>
    <n v="145.80000000000001"/>
    <n v="143.1"/>
    <n v="137.69999999999999"/>
    <n v="142.30000000000001"/>
    <s v="NA"/>
    <n v="134.80000000000001"/>
    <n v="9.3268450932684627E-2"/>
    <n v="135.19999999999999"/>
    <n v="131.30000000000001"/>
    <n v="5.8017727639000947E-2"/>
    <n v="119.4"/>
    <n v="129.80000000000001"/>
    <n v="136.9"/>
    <n v="124.1"/>
    <n v="128.1"/>
    <n v="133.9"/>
  </r>
  <r>
    <x v="1"/>
    <x v="4"/>
    <n v="6"/>
    <x v="58"/>
    <n v="132.9"/>
    <n v="148.69999999999999"/>
    <n v="128.30000000000001"/>
    <n v="137.30000000000001"/>
    <n v="113.5"/>
    <n v="137.19999999999999"/>
    <n v="142.19999999999999"/>
    <n v="128.19999999999999"/>
    <n v="120.9"/>
    <n v="138.80000000000001"/>
    <n v="124.2"/>
    <n v="143.1"/>
    <n v="135.69999999999999"/>
    <n v="5.9303187546329347E-3"/>
    <n v="148.6"/>
    <n v="131.5"/>
    <n v="123.2"/>
    <n v="130.19999999999999"/>
    <n v="131.4"/>
    <n v="119"/>
    <n v="-0.11721068249258168"/>
    <n v="126.8"/>
    <n v="123.8"/>
    <n v="-5.7121096725057226E-2"/>
    <n v="113.9"/>
    <n v="122.9"/>
    <n v="134.30000000000001"/>
    <n v="122.5"/>
    <n v="122.7"/>
    <n v="129.9"/>
  </r>
  <r>
    <x v="2"/>
    <x v="4"/>
    <n v="6"/>
    <x v="58"/>
    <n v="133.30000000000001"/>
    <n v="145.5"/>
    <n v="128.1"/>
    <n v="138.1"/>
    <n v="118.2"/>
    <n v="139.19999999999999"/>
    <n v="133.30000000000001"/>
    <n v="136.19999999999999"/>
    <n v="119.6"/>
    <n v="135.30000000000001"/>
    <n v="127.8"/>
    <n v="144.9"/>
    <n v="135.19999999999999"/>
    <n v="-3.6845983787767139E-3"/>
    <n v="146.5"/>
    <n v="138.5"/>
    <n v="131.69999999999999"/>
    <n v="137.5"/>
    <n v="131.4"/>
    <n v="128.80000000000001"/>
    <n v="8.2352941176470684E-2"/>
    <n v="131.19999999999999"/>
    <n v="128.5"/>
    <n v="3.7964458804523447E-2"/>
    <n v="116.5"/>
    <n v="125.9"/>
    <n v="135.4"/>
    <n v="123.4"/>
    <n v="125.5"/>
    <n v="132"/>
  </r>
  <r>
    <x v="0"/>
    <x v="5"/>
    <n v="6"/>
    <x v="59"/>
    <n v="137.6"/>
    <n v="148.1"/>
    <n v="136.69999999999999"/>
    <n v="143.19999999999999"/>
    <n v="124"/>
    <n v="154.1"/>
    <n v="143.5"/>
    <n v="126"/>
    <n v="112.4"/>
    <n v="137.6"/>
    <n v="132.80000000000001"/>
    <n v="154.30000000000001"/>
    <n v="140"/>
    <n v="3.5502958579881741E-2"/>
    <n v="157.30000000000001"/>
    <n v="151.30000000000001"/>
    <n v="144.69999999999999"/>
    <n v="150.30000000000001"/>
    <s v="NA"/>
    <n v="145.1"/>
    <n v="0.12655279503105576"/>
    <n v="142.19999999999999"/>
    <n v="138.4"/>
    <n v="7.7042801556420279E-2"/>
    <n v="127.4"/>
    <n v="137.80000000000001"/>
    <n v="145.1"/>
    <n v="131.4"/>
    <n v="135.6"/>
    <n v="140.5"/>
  </r>
  <r>
    <x v="1"/>
    <x v="5"/>
    <n v="6"/>
    <x v="59"/>
    <n v="135.30000000000001"/>
    <n v="149.69999999999999"/>
    <n v="133.9"/>
    <n v="140.80000000000001"/>
    <n v="116.6"/>
    <n v="152.19999999999999"/>
    <n v="144"/>
    <n v="112.3"/>
    <n v="108.4"/>
    <n v="140"/>
    <n v="126.7"/>
    <n v="149"/>
    <n v="138.4"/>
    <n v="-1.1428571428571389E-2"/>
    <n v="161"/>
    <n v="138.9"/>
    <n v="128.69999999999999"/>
    <n v="137.4"/>
    <n v="142.5"/>
    <n v="126.5"/>
    <n v="-0.12818745692625771"/>
    <n v="133.1"/>
    <n v="132.6"/>
    <n v="-4.1907514450867135E-2"/>
    <n v="120.4"/>
    <n v="128.5"/>
    <n v="141.19999999999999"/>
    <n v="128.19999999999999"/>
    <n v="129.5"/>
    <n v="136.19999999999999"/>
  </r>
  <r>
    <x v="2"/>
    <x v="5"/>
    <n v="6"/>
    <x v="59"/>
    <n v="136.9"/>
    <n v="148.69999999999999"/>
    <n v="135.6"/>
    <n v="142.30000000000001"/>
    <n v="121.3"/>
    <n v="153.19999999999999"/>
    <n v="143.69999999999999"/>
    <n v="121.4"/>
    <n v="111.1"/>
    <n v="138.4"/>
    <n v="130.30000000000001"/>
    <n v="151.80000000000001"/>
    <n v="139.4"/>
    <n v="7.2254335260115606E-3"/>
    <n v="158.30000000000001"/>
    <n v="146.4"/>
    <n v="138.1"/>
    <n v="145.19999999999999"/>
    <n v="142.5"/>
    <n v="138.1"/>
    <n v="9.169960474308296E-2"/>
    <n v="137.9"/>
    <n v="136.19999999999999"/>
    <n v="2.7149321266968285E-2"/>
    <n v="123.7"/>
    <n v="132.6"/>
    <n v="142.80000000000001"/>
    <n v="130.1"/>
    <n v="132.6"/>
    <n v="138.5"/>
  </r>
  <r>
    <x v="0"/>
    <x v="6"/>
    <n v="6"/>
    <x v="60"/>
    <n v="137.80000000000001"/>
    <n v="163.5"/>
    <n v="136.19999999999999"/>
    <n v="143.19999999999999"/>
    <n v="124.3"/>
    <n v="143.30000000000001"/>
    <n v="140.6"/>
    <n v="128.69999999999999"/>
    <n v="110.6"/>
    <n v="140.4"/>
    <n v="138"/>
    <n v="156.6"/>
    <n v="141"/>
    <n v="1.1477761836441853E-2"/>
    <n v="164.2"/>
    <n v="151.4"/>
    <n v="146.5"/>
    <n v="150.69999999999999"/>
    <s v="NA"/>
    <n v="147.80000000000001"/>
    <n v="7.0238957277335395E-2"/>
    <n v="149.6"/>
    <n v="151.69999999999999"/>
    <n v="0.11380323054331866"/>
    <n v="130.19999999999999"/>
    <n v="146.4"/>
    <n v="157.69999999999999"/>
    <n v="134.80000000000001"/>
    <n v="143.30000000000001"/>
    <n v="143.6"/>
  </r>
  <r>
    <x v="1"/>
    <x v="6"/>
    <n v="6"/>
    <x v="60"/>
    <n v="140.69999999999999"/>
    <n v="159.6"/>
    <n v="140.4"/>
    <n v="143.4"/>
    <n v="118.6"/>
    <n v="150.9"/>
    <n v="169.8"/>
    <n v="127.4"/>
    <n v="111.8"/>
    <n v="141"/>
    <n v="129"/>
    <n v="155.1"/>
    <n v="145.6"/>
    <n v="3.2624113475177262E-2"/>
    <n v="166.7"/>
    <n v="144.30000000000001"/>
    <n v="131.69999999999999"/>
    <n v="142.4"/>
    <n v="149.4"/>
    <n v="130.5"/>
    <n v="-0.11705006765899871"/>
    <n v="137.4"/>
    <n v="140.30000000000001"/>
    <n v="-7.5148319050757931E-2"/>
    <n v="119.6"/>
    <n v="134.30000000000001"/>
    <n v="148.9"/>
    <n v="133.69999999999999"/>
    <n v="133.6"/>
    <n v="142.1"/>
  </r>
  <r>
    <x v="2"/>
    <x v="6"/>
    <n v="6"/>
    <x v="60"/>
    <n v="138.69999999999999"/>
    <n v="162.1"/>
    <n v="137.80000000000001"/>
    <n v="143.30000000000001"/>
    <n v="122.2"/>
    <n v="146.80000000000001"/>
    <n v="150.5"/>
    <n v="128.30000000000001"/>
    <n v="111"/>
    <n v="140.6"/>
    <n v="134.19999999999999"/>
    <n v="155.9"/>
    <n v="142.69999999999999"/>
    <n v="-1.9917582417582458E-2"/>
    <n v="164.9"/>
    <n v="148.6"/>
    <n v="140.4"/>
    <n v="147.4"/>
    <n v="149.4"/>
    <n v="141.19999999999999"/>
    <n v="8.1992337164750864E-2"/>
    <n v="143.80000000000001"/>
    <n v="147.4"/>
    <n v="5.0605844618674227E-2"/>
    <n v="124.6"/>
    <n v="139.6"/>
    <n v="152.5"/>
    <n v="134.30000000000001"/>
    <n v="138.6"/>
    <n v="142.9"/>
  </r>
  <r>
    <x v="0"/>
    <x v="7"/>
    <n v="6"/>
    <x v="61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6.7274001401541855E-2"/>
    <n v="182.4"/>
    <n v="154.69999999999999"/>
    <n v="150"/>
    <n v="154.1"/>
    <s v="NA"/>
    <n v="144.9"/>
    <n v="2.6203966005665845E-2"/>
    <n v="151.69999999999999"/>
    <n v="158.19999999999999"/>
    <n v="7.3270013568520906E-2"/>
    <n v="141.4"/>
    <n v="153.19999999999999"/>
    <n v="161.80000000000001"/>
    <n v="151.19999999999999"/>
    <n v="151.69999999999999"/>
    <n v="152.69999999999999"/>
  </r>
  <r>
    <x v="1"/>
    <x v="7"/>
    <n v="6"/>
    <x v="61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3.0860144451739908E-2"/>
    <n v="186.7"/>
    <n v="149.1"/>
    <n v="136.6"/>
    <n v="147.19999999999999"/>
    <n v="154.69999999999999"/>
    <n v="137.1"/>
    <n v="-5.38302277432713E-2"/>
    <n v="140.4"/>
    <n v="148.1"/>
    <n v="-6.3843236409608053E-2"/>
    <n v="129.30000000000001"/>
    <n v="144.5"/>
    <n v="152.5"/>
    <n v="152.19999999999999"/>
    <n v="142"/>
    <n v="150.80000000000001"/>
  </r>
  <r>
    <x v="2"/>
    <x v="7"/>
    <n v="6"/>
    <x v="61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-1.9108280254777069E-2"/>
    <n v="183.5"/>
    <n v="152.5"/>
    <n v="144.4"/>
    <n v="151.4"/>
    <n v="154.69999999999999"/>
    <n v="141.9"/>
    <n v="3.5010940919037281E-2"/>
    <n v="146.4"/>
    <n v="154.4"/>
    <n v="4.2538825118163481E-2"/>
    <n v="135"/>
    <n v="148.30000000000001"/>
    <n v="156.4"/>
    <n v="151.6"/>
    <n v="147"/>
    <n v="151.80000000000001"/>
  </r>
  <r>
    <x v="0"/>
    <x v="8"/>
    <n v="6"/>
    <x v="62"/>
    <n v="145.6"/>
    <n v="200.1"/>
    <n v="179.3"/>
    <n v="156.1"/>
    <n v="190.4"/>
    <n v="158.6"/>
    <n v="144.69999999999999"/>
    <n v="165.5"/>
    <n v="114.6"/>
    <n v="170"/>
    <n v="165.5"/>
    <n v="171.7"/>
    <n v="160.5"/>
    <n v="4.2207792207792208E-2"/>
    <n v="189.1"/>
    <n v="165.3"/>
    <n v="159.9"/>
    <n v="164.6"/>
    <s v="NA"/>
    <n v="162.1"/>
    <n v="0.14235377026074691"/>
    <n v="159.19999999999999"/>
    <n v="169.7"/>
    <n v="9.9093264248704543E-2"/>
    <n v="154.19999999999999"/>
    <n v="160.4"/>
    <n v="166.8"/>
    <n v="159.4"/>
    <n v="161.5"/>
    <n v="162.1"/>
  </r>
  <r>
    <x v="1"/>
    <x v="8"/>
    <n v="6"/>
    <x v="62"/>
    <n v="149.19999999999999"/>
    <n v="205.5"/>
    <n v="182.8"/>
    <n v="156.5"/>
    <n v="172.2"/>
    <n v="171.5"/>
    <n v="176.2"/>
    <n v="166.9"/>
    <n v="116.1"/>
    <n v="165.5"/>
    <n v="152.30000000000001"/>
    <n v="173.3"/>
    <n v="166.2"/>
    <n v="3.5514018691588711E-2"/>
    <n v="195.6"/>
    <n v="157.30000000000001"/>
    <n v="140.5"/>
    <n v="154.80000000000001"/>
    <n v="160.5"/>
    <n v="156.1"/>
    <n v="-3.701418877236274E-2"/>
    <n v="149.80000000000001"/>
    <n v="160.80000000000001"/>
    <n v="-5.2445492044784783E-2"/>
    <n v="147.5"/>
    <n v="150.69999999999999"/>
    <n v="158.1"/>
    <n v="158"/>
    <n v="153.4"/>
    <n v="160.4"/>
  </r>
  <r>
    <x v="2"/>
    <x v="8"/>
    <n v="6"/>
    <x v="62"/>
    <n v="146.69999999999999"/>
    <n v="202"/>
    <n v="180.7"/>
    <n v="156.19999999999999"/>
    <n v="183.7"/>
    <n v="164.6"/>
    <n v="155.4"/>
    <n v="166"/>
    <n v="115.1"/>
    <n v="168.5"/>
    <n v="160"/>
    <n v="172.4"/>
    <n v="162.6"/>
    <n v="-2.1660649819494553E-2"/>
    <n v="190.8"/>
    <n v="162.19999999999999"/>
    <n v="151.80000000000001"/>
    <n v="160.69999999999999"/>
    <n v="160.5"/>
    <n v="159.80000000000001"/>
    <n v="2.3702754644458791E-2"/>
    <n v="154.80000000000001"/>
    <n v="166.3"/>
    <n v="3.4203980099502485E-2"/>
    <n v="150.69999999999999"/>
    <n v="154.9"/>
    <n v="161.69999999999999"/>
    <n v="158.80000000000001"/>
    <n v="157.6"/>
    <n v="161.30000000000001"/>
  </r>
  <r>
    <x v="0"/>
    <x v="9"/>
    <n v="6"/>
    <x v="63"/>
    <n v="153.80000000000001"/>
    <n v="217.2"/>
    <n v="169.6"/>
    <n v="165.4"/>
    <n v="208.1"/>
    <n v="165.8"/>
    <n v="167.3"/>
    <n v="164.6"/>
    <n v="119.1"/>
    <n v="188.9"/>
    <n v="174.2"/>
    <n v="181.9"/>
    <n v="172.4"/>
    <n v="6.0270602706027132E-2"/>
    <n v="192.9"/>
    <n v="180.7"/>
    <n v="178.7"/>
    <n v="180.4"/>
    <s v="NA"/>
    <n v="176.7"/>
    <n v="0.10575719649561938"/>
    <n v="170.3"/>
    <n v="178.2"/>
    <n v="7.1557426337943333E-2"/>
    <n v="165.5"/>
    <n v="168"/>
    <n v="172.6"/>
    <n v="169.5"/>
    <n v="171"/>
    <n v="173.6"/>
  </r>
  <r>
    <x v="1"/>
    <x v="9"/>
    <n v="6"/>
    <x v="63"/>
    <n v="157.5"/>
    <n v="223.4"/>
    <n v="172.8"/>
    <n v="166.4"/>
    <n v="188.6"/>
    <n v="174.1"/>
    <n v="211.5"/>
    <n v="163.6"/>
    <n v="121.4"/>
    <n v="183.5"/>
    <n v="159.1"/>
    <n v="186.3"/>
    <n v="179.3"/>
    <n v="4.0023201856148521E-2"/>
    <n v="198.3"/>
    <n v="171.6"/>
    <n v="157.4"/>
    <n v="169.4"/>
    <n v="166.8"/>
    <n v="174.9"/>
    <n v="-1.0186757215619598E-2"/>
    <n v="162.1"/>
    <n v="170.9"/>
    <n v="-4.0965207631874202E-2"/>
    <n v="157.19999999999999"/>
    <n v="164.1"/>
    <n v="166.5"/>
    <n v="169.2"/>
    <n v="163.80000000000001"/>
    <n v="171.4"/>
  </r>
  <r>
    <x v="2"/>
    <x v="9"/>
    <n v="6"/>
    <x v="63"/>
    <n v="155"/>
    <n v="219.4"/>
    <n v="170.8"/>
    <n v="165.8"/>
    <n v="200.9"/>
    <n v="169.7"/>
    <n v="182.3"/>
    <n v="164.3"/>
    <n v="119.9"/>
    <n v="187.1"/>
    <n v="167.9"/>
    <n v="183.9"/>
    <n v="174.9"/>
    <n v="-2.4539877300613529E-2"/>
    <n v="194.3"/>
    <n v="177.1"/>
    <n v="169.9"/>
    <n v="176"/>
    <n v="166.8"/>
    <n v="176"/>
    <n v="6.2893081761005963E-3"/>
    <n v="166.4"/>
    <n v="175.4"/>
    <n v="2.6331187829139846E-2"/>
    <n v="161.1"/>
    <n v="165.8"/>
    <n v="169"/>
    <n v="169.4"/>
    <n v="167.5"/>
    <n v="172.6"/>
  </r>
  <r>
    <x v="0"/>
    <x v="0"/>
    <n v="7"/>
    <x v="64"/>
    <n v="113.4"/>
    <n v="114.9"/>
    <n v="110.5"/>
    <n v="109.3"/>
    <n v="106.2"/>
    <n v="110.3"/>
    <n v="129.19999999999999"/>
    <n v="107.1"/>
    <n v="104.3"/>
    <n v="106.4"/>
    <n v="109.1"/>
    <n v="112.1"/>
    <n v="113.1"/>
    <n v="-0.35334476843910811"/>
    <n v="109.8"/>
    <n v="110.5"/>
    <n v="109.5"/>
    <n v="110.3"/>
    <s v="NA"/>
    <n v="109.5"/>
    <n v="-0.37784090909090912"/>
    <n v="108.3"/>
    <n v="106.9"/>
    <n v="-0.39053591790193842"/>
    <n v="106.8"/>
    <n v="106.4"/>
    <n v="107.8"/>
    <n v="102.5"/>
    <n v="106.5"/>
    <n v="110.7"/>
  </r>
  <r>
    <x v="1"/>
    <x v="0"/>
    <n v="7"/>
    <x v="64"/>
    <n v="117.8"/>
    <n v="119.2"/>
    <n v="114"/>
    <n v="108.3"/>
    <n v="101.1"/>
    <n v="113.2"/>
    <n v="160.9"/>
    <n v="105.1"/>
    <n v="101.3"/>
    <n v="107.5"/>
    <n v="110.4"/>
    <n v="113.1"/>
    <n v="117.5"/>
    <n v="3.8903625110521714E-2"/>
    <n v="111.7"/>
    <n v="109.8"/>
    <n v="107.8"/>
    <n v="109.5"/>
    <n v="107.7"/>
    <n v="108.6"/>
    <n v="-8.2191780821918321E-3"/>
    <n v="108.1"/>
    <n v="107.1"/>
    <n v="1.8709073900840844E-3"/>
    <n v="107.3"/>
    <n v="105.9"/>
    <n v="110.1"/>
    <n v="103.2"/>
    <n v="107.3"/>
    <n v="111.4"/>
  </r>
  <r>
    <x v="2"/>
    <x v="0"/>
    <n v="7"/>
    <x v="64"/>
    <n v="114.8"/>
    <n v="116.4"/>
    <n v="111.9"/>
    <n v="108.9"/>
    <n v="104.3"/>
    <n v="111.7"/>
    <n v="140"/>
    <n v="106.4"/>
    <n v="103.3"/>
    <n v="106.8"/>
    <n v="109.6"/>
    <n v="112.6"/>
    <n v="114.7"/>
    <n v="-2.382978723404253E-2"/>
    <n v="110.3"/>
    <n v="110.2"/>
    <n v="108.8"/>
    <n v="110"/>
    <n v="107.7"/>
    <n v="109.2"/>
    <n v="5.5248618784531174E-3"/>
    <n v="108.2"/>
    <n v="107"/>
    <n v="-9.3370681605970426E-4"/>
    <n v="107.1"/>
    <n v="106.1"/>
    <n v="109.1"/>
    <n v="102.8"/>
    <n v="106.9"/>
    <n v="111"/>
  </r>
  <r>
    <x v="0"/>
    <x v="1"/>
    <n v="7"/>
    <x v="65"/>
    <n v="121.7"/>
    <n v="122.5"/>
    <n v="117.7"/>
    <n v="120.6"/>
    <n v="110.4"/>
    <n v="129.1"/>
    <n v="150.1"/>
    <n v="113.2"/>
    <n v="104.8"/>
    <n v="113.3"/>
    <n v="115.6"/>
    <n v="120.9"/>
    <n v="123.3"/>
    <n v="7.4978204010462027E-2"/>
    <n v="118"/>
    <n v="120.7"/>
    <n v="118.3"/>
    <n v="120.3"/>
    <s v="NA"/>
    <n v="115.3"/>
    <n v="5.5860805860805808E-2"/>
    <n v="115.4"/>
    <n v="113.4"/>
    <n v="5.9813084112149584E-2"/>
    <n v="113.2"/>
    <n v="111.8"/>
    <n v="115.5"/>
    <n v="108.8"/>
    <n v="113.1"/>
    <n v="119.5"/>
  </r>
  <r>
    <x v="1"/>
    <x v="1"/>
    <n v="7"/>
    <x v="65"/>
    <n v="123.8"/>
    <n v="126.4"/>
    <n v="118"/>
    <n v="121.6"/>
    <n v="103.5"/>
    <n v="133.69999999999999"/>
    <n v="172.4"/>
    <n v="113.1"/>
    <n v="102.7"/>
    <n v="120"/>
    <n v="113.8"/>
    <n v="123.4"/>
    <n v="127.1"/>
    <n v="3.081914030819138E-2"/>
    <n v="121"/>
    <n v="118"/>
    <n v="113.6"/>
    <n v="117.4"/>
    <n v="114.8"/>
    <n v="111.6"/>
    <n v="-3.2090199479618414E-2"/>
    <n v="114.9"/>
    <n v="111.5"/>
    <n v="-1.6754850088183469E-2"/>
    <n v="113"/>
    <n v="112.4"/>
    <n v="117.8"/>
    <n v="109.7"/>
    <n v="113.5"/>
    <n v="118.9"/>
  </r>
  <r>
    <x v="2"/>
    <x v="1"/>
    <n v="7"/>
    <x v="65"/>
    <n v="122.4"/>
    <n v="123.9"/>
    <n v="117.8"/>
    <n v="121"/>
    <n v="107.9"/>
    <n v="131.19999999999999"/>
    <n v="157.69999999999999"/>
    <n v="113.2"/>
    <n v="104.1"/>
    <n v="115.5"/>
    <n v="114.8"/>
    <n v="122.1"/>
    <n v="124.7"/>
    <n v="-1.8882769472855953E-2"/>
    <n v="118.8"/>
    <n v="119.6"/>
    <n v="116.3"/>
    <n v="119.1"/>
    <n v="114.8"/>
    <n v="113.9"/>
    <n v="2.0609318996415875E-2"/>
    <n v="115.2"/>
    <n v="112.7"/>
    <n v="1.0762331838565047E-2"/>
    <n v="113.1"/>
    <n v="112.1"/>
    <n v="116.8"/>
    <n v="109.2"/>
    <n v="113.3"/>
    <n v="119.2"/>
  </r>
  <r>
    <x v="0"/>
    <x v="2"/>
    <n v="7"/>
    <x v="66"/>
    <n v="124"/>
    <n v="131.5"/>
    <n v="122"/>
    <n v="128.69999999999999"/>
    <n v="113.5"/>
    <n v="133.30000000000001"/>
    <n v="140.80000000000001"/>
    <n v="133.80000000000001"/>
    <n v="94.1"/>
    <n v="123.4"/>
    <n v="121"/>
    <n v="131.69999999999999"/>
    <n v="127.5"/>
    <n v="2.2453889334402542E-2"/>
    <n v="129.4"/>
    <n v="128.80000000000001"/>
    <n v="125.5"/>
    <n v="128.30000000000001"/>
    <s v="NA"/>
    <n v="123"/>
    <n v="7.9894644424934103E-2"/>
    <n v="123"/>
    <n v="120.8"/>
    <n v="7.1872227151730209E-2"/>
    <n v="114.1"/>
    <n v="118"/>
    <n v="122.9"/>
    <n v="112.7"/>
    <n v="118.1"/>
    <n v="124.7"/>
  </r>
  <r>
    <x v="1"/>
    <x v="2"/>
    <n v="7"/>
    <x v="66"/>
    <n v="123.2"/>
    <n v="134.30000000000001"/>
    <n v="119.5"/>
    <n v="127.7"/>
    <n v="106.3"/>
    <n v="132.80000000000001"/>
    <n v="153.5"/>
    <n v="149.5"/>
    <n v="85.7"/>
    <n v="131.5"/>
    <n v="118.3"/>
    <n v="131.1"/>
    <n v="129.5"/>
    <n v="1.5686274509803921E-2"/>
    <n v="133.1"/>
    <n v="123.5"/>
    <n v="117.9"/>
    <n v="122.7"/>
    <n v="119.9"/>
    <n v="115.3"/>
    <n v="-6.2601626016260181E-2"/>
    <n v="119.5"/>
    <n v="116"/>
    <n v="-3.9735099337748318E-2"/>
    <n v="111.5"/>
    <n v="116.6"/>
    <n v="125.4"/>
    <n v="111.7"/>
    <n v="116.3"/>
    <n v="122.4"/>
  </r>
  <r>
    <x v="2"/>
    <x v="2"/>
    <n v="7"/>
    <x v="66"/>
    <n v="123.7"/>
    <n v="132.5"/>
    <n v="121"/>
    <n v="128.30000000000001"/>
    <n v="110.9"/>
    <n v="133.1"/>
    <n v="145.1"/>
    <n v="139.1"/>
    <n v="91.3"/>
    <n v="126.1"/>
    <n v="119.9"/>
    <n v="131.4"/>
    <n v="128.19999999999999"/>
    <n v="-1.0038610038610127E-2"/>
    <n v="130.4"/>
    <n v="126.7"/>
    <n v="122.3"/>
    <n v="126.1"/>
    <n v="119.9"/>
    <n v="120.1"/>
    <n v="4.1630529054640049E-2"/>
    <n v="121.3"/>
    <n v="119"/>
    <n v="2.5862068965517241E-2"/>
    <n v="112.7"/>
    <n v="117.2"/>
    <n v="124.4"/>
    <n v="112.3"/>
    <n v="117.2"/>
    <n v="123.6"/>
  </r>
  <r>
    <x v="0"/>
    <x v="3"/>
    <n v="7"/>
    <x v="67"/>
    <n v="129.30000000000001"/>
    <n v="139.5"/>
    <n v="129.6"/>
    <n v="134.5"/>
    <n v="119.5"/>
    <n v="138.5"/>
    <n v="158.19999999999999"/>
    <n v="171.8"/>
    <n v="110.3"/>
    <n v="134.30000000000001"/>
    <n v="127.3"/>
    <n v="139.9"/>
    <n v="137.6"/>
    <n v="7.3322932917316744E-2"/>
    <n v="138"/>
    <n v="137.19999999999999"/>
    <n v="132.19999999999999"/>
    <n v="136.5"/>
    <s v="NA"/>
    <n v="128.19999999999999"/>
    <n v="6.7443796835969974E-2"/>
    <n v="130"/>
    <n v="126.7"/>
    <n v="6.4705882352941196E-2"/>
    <n v="116.4"/>
    <n v="125.2"/>
    <n v="130.80000000000001"/>
    <n v="120.9"/>
    <n v="123.8"/>
    <n v="133"/>
  </r>
  <r>
    <x v="1"/>
    <x v="3"/>
    <n v="7"/>
    <x v="67"/>
    <n v="126.8"/>
    <n v="144.19999999999999"/>
    <n v="136.6"/>
    <n v="131.80000000000001"/>
    <n v="111"/>
    <n v="137"/>
    <n v="179.5"/>
    <n v="188.4"/>
    <n v="113.3"/>
    <n v="143.9"/>
    <n v="121.7"/>
    <n v="137.5"/>
    <n v="139.80000000000001"/>
    <n v="1.5988372093023381E-2"/>
    <n v="142.9"/>
    <n v="127.9"/>
    <n v="121.1"/>
    <n v="126.9"/>
    <n v="126.4"/>
    <n v="115.5"/>
    <n v="-9.9063962558502264E-2"/>
    <n v="123.5"/>
    <n v="120.9"/>
    <n v="-4.577742699289658E-2"/>
    <n v="111.7"/>
    <n v="120.3"/>
    <n v="130.80000000000001"/>
    <n v="120"/>
    <n v="119.9"/>
    <n v="129"/>
  </r>
  <r>
    <x v="2"/>
    <x v="3"/>
    <n v="7"/>
    <x v="67"/>
    <n v="128.5"/>
    <n v="141.19999999999999"/>
    <n v="132.30000000000001"/>
    <n v="133.5"/>
    <n v="116.4"/>
    <n v="137.80000000000001"/>
    <n v="165.4"/>
    <n v="177.4"/>
    <n v="111.3"/>
    <n v="137.5"/>
    <n v="125"/>
    <n v="138.80000000000001"/>
    <n v="138.4"/>
    <n v="-1.0014306151645247E-2"/>
    <n v="139.30000000000001"/>
    <n v="133.5"/>
    <n v="127.6"/>
    <n v="132.69999999999999"/>
    <n v="126.4"/>
    <n v="123.4"/>
    <n v="6.8398268398268444E-2"/>
    <n v="126.9"/>
    <n v="124.5"/>
    <n v="2.9776674937965212E-2"/>
    <n v="113.9"/>
    <n v="122.4"/>
    <n v="130.80000000000001"/>
    <n v="120.5"/>
    <n v="121.9"/>
    <n v="131.1"/>
  </r>
  <r>
    <x v="0"/>
    <x v="4"/>
    <n v="7"/>
    <x v="68"/>
    <n v="134"/>
    <n v="144.19999999999999"/>
    <n v="129.80000000000001"/>
    <n v="139"/>
    <n v="120.9"/>
    <n v="143.9"/>
    <n v="151.5"/>
    <n v="138.1"/>
    <n v="120"/>
    <n v="133.9"/>
    <n v="131.4"/>
    <n v="147.69999999999999"/>
    <n v="138.5"/>
    <n v="7.2254335260111494E-4"/>
    <n v="147.4"/>
    <n v="144.30000000000001"/>
    <n v="138.1"/>
    <n v="143.5"/>
    <s v="NA"/>
    <n v="135.30000000000001"/>
    <n v="9.6434359805510572E-2"/>
    <n v="136.1"/>
    <n v="132.1"/>
    <n v="6.1044176706827262E-2"/>
    <n v="119.1"/>
    <n v="130.6"/>
    <n v="138.6"/>
    <n v="124.4"/>
    <n v="128.6"/>
    <n v="136.19999999999999"/>
  </r>
  <r>
    <x v="1"/>
    <x v="4"/>
    <n v="7"/>
    <x v="68"/>
    <n v="132.80000000000001"/>
    <n v="148.4"/>
    <n v="129.4"/>
    <n v="137.69999999999999"/>
    <n v="113.4"/>
    <n v="139.4"/>
    <n v="175.1"/>
    <n v="124.7"/>
    <n v="121.5"/>
    <n v="137.80000000000001"/>
    <n v="124.4"/>
    <n v="143.69999999999999"/>
    <n v="139.80000000000001"/>
    <n v="9.3862815884477348E-3"/>
    <n v="150.5"/>
    <n v="131.6"/>
    <n v="123.7"/>
    <n v="130.4"/>
    <n v="132.6"/>
    <n v="119.7"/>
    <n v="-0.11529933481152999"/>
    <n v="127.2"/>
    <n v="125"/>
    <n v="-5.3747161241483682E-2"/>
    <n v="113.2"/>
    <n v="123.5"/>
    <n v="135.5"/>
    <n v="122.4"/>
    <n v="123"/>
    <n v="131.80000000000001"/>
  </r>
  <r>
    <x v="2"/>
    <x v="4"/>
    <n v="7"/>
    <x v="68"/>
    <n v="133.6"/>
    <n v="145.69999999999999"/>
    <n v="129.6"/>
    <n v="138.5"/>
    <n v="118.1"/>
    <n v="141.80000000000001"/>
    <n v="159.5"/>
    <n v="133.6"/>
    <n v="120.5"/>
    <n v="135.19999999999999"/>
    <n v="128.5"/>
    <n v="145.80000000000001"/>
    <n v="139"/>
    <n v="-5.7224606580830563E-3"/>
    <n v="148.19999999999999"/>
    <n v="139.30000000000001"/>
    <n v="132.1"/>
    <n v="138.30000000000001"/>
    <n v="132.6"/>
    <n v="129.4"/>
    <n v="8.1035923141186322E-2"/>
    <n v="131.9"/>
    <n v="129.4"/>
    <n v="3.5200000000000044E-2"/>
    <n v="116"/>
    <n v="126.6"/>
    <n v="136.80000000000001"/>
    <n v="123.6"/>
    <n v="125.9"/>
    <n v="134.19999999999999"/>
  </r>
  <r>
    <x v="0"/>
    <x v="5"/>
    <n v="7"/>
    <x v="69"/>
    <n v="138.4"/>
    <n v="149.30000000000001"/>
    <n v="139.30000000000001"/>
    <n v="143.4"/>
    <n v="124.1"/>
    <n v="153.30000000000001"/>
    <n v="154.19999999999999"/>
    <n v="126.4"/>
    <n v="114.3"/>
    <n v="138.19999999999999"/>
    <n v="132.80000000000001"/>
    <n v="154.80000000000001"/>
    <n v="142"/>
    <n v="2.1582733812949641E-2"/>
    <n v="156.1"/>
    <n v="151.5"/>
    <n v="145.1"/>
    <n v="150.6"/>
    <s v="NA"/>
    <n v="146.80000000000001"/>
    <n v="0.13446676970633697"/>
    <n v="143.1"/>
    <n v="139"/>
    <n v="7.4188562596599644E-2"/>
    <n v="127.5"/>
    <n v="138.4"/>
    <n v="145.80000000000001"/>
    <n v="131.4"/>
    <n v="136"/>
    <n v="141.80000000000001"/>
  </r>
  <r>
    <x v="1"/>
    <x v="5"/>
    <n v="7"/>
    <x v="69"/>
    <n v="135.6"/>
    <n v="148.6"/>
    <n v="139.1"/>
    <n v="141"/>
    <n v="116.7"/>
    <n v="149.69999999999999"/>
    <n v="159.19999999999999"/>
    <n v="112.6"/>
    <n v="111.8"/>
    <n v="140.30000000000001"/>
    <n v="126.8"/>
    <n v="149.4"/>
    <n v="140.30000000000001"/>
    <n v="-1.1971830985915413E-2"/>
    <n v="161.4"/>
    <n v="139.6"/>
    <n v="128.9"/>
    <n v="137.9"/>
    <n v="143.6"/>
    <n v="128.1"/>
    <n v="-0.12738419618528621"/>
    <n v="133.6"/>
    <n v="133.6"/>
    <n v="-3.8848920863309391E-2"/>
    <n v="120.1"/>
    <n v="129"/>
    <n v="144"/>
    <n v="128.19999999999999"/>
    <n v="130.19999999999999"/>
    <n v="137.5"/>
  </r>
  <r>
    <x v="2"/>
    <x v="5"/>
    <n v="7"/>
    <x v="69"/>
    <n v="137.5"/>
    <n v="149.1"/>
    <n v="139.19999999999999"/>
    <n v="142.5"/>
    <n v="121.4"/>
    <n v="151.6"/>
    <n v="155.9"/>
    <n v="121.7"/>
    <n v="113.5"/>
    <n v="138.9"/>
    <n v="130.30000000000001"/>
    <n v="152.30000000000001"/>
    <n v="141.4"/>
    <n v="7.840342124019916E-3"/>
    <n v="157.5"/>
    <n v="146.80000000000001"/>
    <n v="138.4"/>
    <n v="145.6"/>
    <n v="143.6"/>
    <n v="139.69999999999999"/>
    <n v="9.055425448868068E-2"/>
    <n v="138.6"/>
    <n v="137"/>
    <n v="2.544910179640723E-2"/>
    <n v="123.6"/>
    <n v="133.1"/>
    <n v="144.69999999999999"/>
    <n v="130.1"/>
    <n v="133.19999999999999"/>
    <n v="139.80000000000001"/>
  </r>
  <r>
    <x v="0"/>
    <x v="6"/>
    <n v="7"/>
    <x v="70"/>
    <n v="138.4"/>
    <n v="164"/>
    <n v="138.4"/>
    <n v="143.9"/>
    <n v="124.4"/>
    <n v="146.4"/>
    <n v="150.1"/>
    <n v="130.6"/>
    <n v="110.8"/>
    <n v="141.69999999999999"/>
    <n v="138.5"/>
    <n v="156.69999999999999"/>
    <n v="143"/>
    <n v="1.1315417256011274E-2"/>
    <n v="164.5"/>
    <n v="151.6"/>
    <n v="146.6"/>
    <n v="150.9"/>
    <s v="NA"/>
    <n v="146.80000000000001"/>
    <n v="5.0823192555476189E-2"/>
    <n v="150"/>
    <n v="152.19999999999999"/>
    <n v="0.11094890510948897"/>
    <n v="131.19999999999999"/>
    <n v="147.5"/>
    <n v="159.1"/>
    <n v="136.1"/>
    <n v="144.19999999999999"/>
    <n v="144.9"/>
  </r>
  <r>
    <x v="1"/>
    <x v="6"/>
    <n v="7"/>
    <x v="70"/>
    <n v="141.4"/>
    <n v="160.19999999999999"/>
    <n v="142.5"/>
    <n v="144.1"/>
    <n v="119.3"/>
    <n v="154.69999999999999"/>
    <n v="180.1"/>
    <n v="128.9"/>
    <n v="111.8"/>
    <n v="141.6"/>
    <n v="129.5"/>
    <n v="155.6"/>
    <n v="147.69999999999999"/>
    <n v="3.2867132867132789E-2"/>
    <n v="167.2"/>
    <n v="144.69999999999999"/>
    <n v="131.9"/>
    <n v="142.69999999999999"/>
    <n v="150.6"/>
    <n v="127"/>
    <n v="-0.13487738419618536"/>
    <n v="137.69999999999999"/>
    <n v="140.80000000000001"/>
    <n v="-7.4901445466491315E-2"/>
    <n v="120.6"/>
    <n v="135"/>
    <n v="150.4"/>
    <n v="135.1"/>
    <n v="134.5"/>
    <n v="143.30000000000001"/>
  </r>
  <r>
    <x v="2"/>
    <x v="6"/>
    <n v="7"/>
    <x v="70"/>
    <n v="139.30000000000001"/>
    <n v="162.69999999999999"/>
    <n v="140"/>
    <n v="144"/>
    <n v="122.5"/>
    <n v="150.30000000000001"/>
    <n v="160.30000000000001"/>
    <n v="130"/>
    <n v="111.1"/>
    <n v="141.69999999999999"/>
    <n v="134.69999999999999"/>
    <n v="156.19999999999999"/>
    <n v="144.69999999999999"/>
    <n v="-2.0311442112389982E-2"/>
    <n v="165.2"/>
    <n v="148.9"/>
    <n v="140.5"/>
    <n v="147.6"/>
    <n v="150.6"/>
    <n v="139.30000000000001"/>
    <n v="9.685039370078749E-2"/>
    <n v="144.19999999999999"/>
    <n v="147.9"/>
    <n v="5.0426136363636319E-2"/>
    <n v="125.6"/>
    <n v="140.5"/>
    <n v="154"/>
    <n v="135.69999999999999"/>
    <n v="139.5"/>
    <n v="144.19999999999999"/>
  </r>
  <r>
    <x v="0"/>
    <x v="7"/>
    <n v="7"/>
    <x v="71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5.252246026261246E-2"/>
    <n v="182.4"/>
    <n v="154.69999999999999"/>
    <n v="150"/>
    <n v="154.1"/>
    <s v="NA"/>
    <n v="144.9"/>
    <n v="4.0201005025125587E-2"/>
    <n v="151.69999999999999"/>
    <n v="158.19999999999999"/>
    <n v="6.9641649763353505E-2"/>
    <n v="141.4"/>
    <n v="153.19999999999999"/>
    <n v="161.80000000000001"/>
    <n v="151.19999999999999"/>
    <n v="151.69999999999999"/>
    <n v="152.69999999999999"/>
  </r>
  <r>
    <x v="1"/>
    <x v="7"/>
    <n v="7"/>
    <x v="71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3.0860144451739908E-2"/>
    <n v="186.7"/>
    <n v="149.1"/>
    <n v="136.6"/>
    <n v="147.19999999999999"/>
    <n v="154.69999999999999"/>
    <n v="137.1"/>
    <n v="-5.38302277432713E-2"/>
    <n v="140.4"/>
    <n v="148.1"/>
    <n v="-6.3843236409608053E-2"/>
    <n v="129.30000000000001"/>
    <n v="144.5"/>
    <n v="152.5"/>
    <n v="152.19999999999999"/>
    <n v="142"/>
    <n v="150.80000000000001"/>
  </r>
  <r>
    <x v="2"/>
    <x v="7"/>
    <n v="7"/>
    <x v="71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-1.9108280254777069E-2"/>
    <n v="183.5"/>
    <n v="152.5"/>
    <n v="144.4"/>
    <n v="151.4"/>
    <n v="154.69999999999999"/>
    <n v="141.9"/>
    <n v="3.5010940919037281E-2"/>
    <n v="146.4"/>
    <n v="154.4"/>
    <n v="4.2538825118163481E-2"/>
    <n v="135"/>
    <n v="148.30000000000001"/>
    <n v="156.4"/>
    <n v="151.6"/>
    <n v="147"/>
    <n v="151.80000000000001"/>
  </r>
  <r>
    <x v="0"/>
    <x v="8"/>
    <n v="7"/>
    <x v="72"/>
    <n v="145.1"/>
    <n v="204.5"/>
    <n v="180.4"/>
    <n v="157.1"/>
    <n v="188.7"/>
    <n v="157.69999999999999"/>
    <n v="152.80000000000001"/>
    <n v="163.6"/>
    <n v="113.9"/>
    <n v="169.7"/>
    <n v="166.2"/>
    <n v="171"/>
    <n v="161.69999999999999"/>
    <n v="4.9999999999999926E-2"/>
    <n v="189.7"/>
    <n v="166"/>
    <n v="161.1"/>
    <n v="165.3"/>
    <s v="NA"/>
    <n v="162.5"/>
    <n v="0.14517265680056374"/>
    <n v="160.30000000000001"/>
    <n v="170.4"/>
    <n v="0.10362694300518134"/>
    <n v="157.1"/>
    <n v="160.69999999999999"/>
    <n v="167.2"/>
    <n v="160.4"/>
    <n v="162.80000000000001"/>
    <n v="163.19999999999999"/>
  </r>
  <r>
    <x v="1"/>
    <x v="8"/>
    <n v="7"/>
    <x v="72"/>
    <n v="149.1"/>
    <n v="210.9"/>
    <n v="185"/>
    <n v="158.19999999999999"/>
    <n v="170.6"/>
    <n v="170.9"/>
    <n v="186.4"/>
    <n v="164.7"/>
    <n v="115.7"/>
    <n v="165.5"/>
    <n v="153.4"/>
    <n v="173.5"/>
    <n v="167.9"/>
    <n v="3.8342609771181306E-2"/>
    <n v="195.5"/>
    <n v="157.9"/>
    <n v="141.9"/>
    <n v="155.5"/>
    <n v="161.5"/>
    <n v="157.69999999999999"/>
    <n v="-2.9538461538461607E-2"/>
    <n v="150.69999999999999"/>
    <n v="161.5"/>
    <n v="-5.223004694835684E-2"/>
    <n v="149.5"/>
    <n v="151.19999999999999"/>
    <n v="160.30000000000001"/>
    <n v="159.6"/>
    <n v="155"/>
    <n v="161.80000000000001"/>
  </r>
  <r>
    <x v="2"/>
    <x v="8"/>
    <n v="7"/>
    <x v="72"/>
    <n v="146.4"/>
    <n v="206.8"/>
    <n v="182.2"/>
    <n v="157.5"/>
    <n v="182.1"/>
    <n v="163.9"/>
    <n v="164.2"/>
    <n v="164"/>
    <n v="114.5"/>
    <n v="168.3"/>
    <n v="160.9"/>
    <n v="172.2"/>
    <n v="164"/>
    <n v="-2.3228111971411589E-2"/>
    <n v="191.2"/>
    <n v="162.80000000000001"/>
    <n v="153.1"/>
    <n v="161.4"/>
    <n v="161.5"/>
    <n v="160.69999999999999"/>
    <n v="1.9023462270133167E-2"/>
    <n v="155.80000000000001"/>
    <n v="167"/>
    <n v="3.4055727554179564E-2"/>
    <n v="153.1"/>
    <n v="155.30000000000001"/>
    <n v="163.19999999999999"/>
    <n v="160.1"/>
    <n v="159"/>
    <n v="162.5"/>
  </r>
  <r>
    <x v="0"/>
    <x v="9"/>
    <n v="7"/>
    <x v="73"/>
    <n v="155.19999999999999"/>
    <n v="210.8"/>
    <n v="174.3"/>
    <n v="166.3"/>
    <n v="202.2"/>
    <n v="169.6"/>
    <n v="168.6"/>
    <n v="164.4"/>
    <n v="119.2"/>
    <n v="191.8"/>
    <n v="174.5"/>
    <n v="183.1"/>
    <n v="172.5"/>
    <n v="5.1829268292682924E-2"/>
    <n v="193.2"/>
    <n v="182"/>
    <n v="180.3"/>
    <n v="181.7"/>
    <s v="NA"/>
    <n v="179.6"/>
    <n v="0.11761045426260117"/>
    <n v="171.3"/>
    <n v="178.8"/>
    <n v="7.0658682634730602E-2"/>
    <n v="166.3"/>
    <n v="168.6"/>
    <n v="174.7"/>
    <n v="169.7"/>
    <n v="171.8"/>
    <n v="174.3"/>
  </r>
  <r>
    <x v="1"/>
    <x v="9"/>
    <n v="7"/>
    <x v="73"/>
    <n v="159.30000000000001"/>
    <n v="217.1"/>
    <n v="176.6"/>
    <n v="167.1"/>
    <n v="184.8"/>
    <n v="179.5"/>
    <n v="208.5"/>
    <n v="164"/>
    <n v="121.5"/>
    <n v="186.3"/>
    <n v="159.80000000000001"/>
    <n v="187.7"/>
    <n v="179.4"/>
    <n v="4.0000000000000036E-2"/>
    <n v="198.6"/>
    <n v="172.7"/>
    <n v="158.69999999999999"/>
    <n v="170.6"/>
    <n v="167.8"/>
    <n v="179.5"/>
    <n v="-5.5679287305119326E-4"/>
    <n v="163.1"/>
    <n v="171.7"/>
    <n v="-3.9709172259507958E-2"/>
    <n v="157.4"/>
    <n v="164.6"/>
    <n v="169.1"/>
    <n v="169.8"/>
    <n v="164.7"/>
    <n v="172.3"/>
  </r>
  <r>
    <x v="2"/>
    <x v="9"/>
    <n v="7"/>
    <x v="73"/>
    <n v="156.5"/>
    <n v="213"/>
    <n v="175.2"/>
    <n v="166.6"/>
    <n v="195.8"/>
    <n v="174.2"/>
    <n v="182.1"/>
    <n v="164.3"/>
    <n v="120"/>
    <n v="190"/>
    <n v="168.4"/>
    <n v="185.2"/>
    <n v="175"/>
    <n v="-2.4526198439241947E-2"/>
    <n v="194.6"/>
    <n v="178.3"/>
    <n v="171.3"/>
    <n v="177.3"/>
    <n v="167.8"/>
    <n v="179.6"/>
    <n v="5.5710306406682073E-4"/>
    <n v="167.4"/>
    <n v="176.1"/>
    <n v="2.5626092020966839E-2"/>
    <n v="161.6"/>
    <n v="166.3"/>
    <n v="171.4"/>
    <n v="169.7"/>
    <n v="168.4"/>
    <n v="173.4"/>
  </r>
  <r>
    <x v="0"/>
    <x v="0"/>
    <n v="8"/>
    <x v="74"/>
    <n v="114.3"/>
    <n v="115.4"/>
    <n v="111.1"/>
    <n v="110"/>
    <n v="106.4"/>
    <n v="110.8"/>
    <n v="138.9"/>
    <n v="107.4"/>
    <n v="104.1"/>
    <n v="106.9"/>
    <n v="109.7"/>
    <n v="112.6"/>
    <n v="114.9"/>
    <n v="-0.34342857142857142"/>
    <n v="110.7"/>
    <n v="111.3"/>
    <n v="110.2"/>
    <n v="111.1"/>
    <s v="NA"/>
    <n v="109.9"/>
    <n v="-0.38808463251670372"/>
    <n v="108.7"/>
    <n v="107.5"/>
    <n v="-0.38955139125496874"/>
    <n v="107.8"/>
    <n v="106.8"/>
    <n v="108.7"/>
    <n v="105"/>
    <n v="107.5"/>
    <n v="112.1"/>
  </r>
  <r>
    <x v="1"/>
    <x v="0"/>
    <n v="8"/>
    <x v="74"/>
    <n v="118.3"/>
    <n v="120.4"/>
    <n v="112.7"/>
    <n v="108.9"/>
    <n v="101.1"/>
    <n v="108.7"/>
    <n v="177"/>
    <n v="104.7"/>
    <n v="101"/>
    <n v="108.5"/>
    <n v="110.9"/>
    <n v="114.3"/>
    <n v="119.6"/>
    <n v="4.0905134899912869E-2"/>
    <n v="112.4"/>
    <n v="110.6"/>
    <n v="108.3"/>
    <n v="110.2"/>
    <n v="108.9"/>
    <n v="109.3"/>
    <n v="-5.4595086442220976E-3"/>
    <n v="108.7"/>
    <n v="107.6"/>
    <n v="9.3023255813948203E-4"/>
    <n v="108.1"/>
    <n v="106.5"/>
    <n v="110.8"/>
    <n v="106"/>
    <n v="108.3"/>
    <n v="112.7"/>
  </r>
  <r>
    <x v="2"/>
    <x v="0"/>
    <n v="8"/>
    <x v="74"/>
    <n v="115.6"/>
    <n v="117.2"/>
    <n v="111.7"/>
    <n v="109.6"/>
    <n v="104.5"/>
    <n v="109.8"/>
    <n v="151.80000000000001"/>
    <n v="106.5"/>
    <n v="103.1"/>
    <n v="107.4"/>
    <n v="110.2"/>
    <n v="113.4"/>
    <n v="116.6"/>
    <n v="-2.508361204013378E-2"/>
    <n v="111.2"/>
    <n v="111"/>
    <n v="109.4"/>
    <n v="110.7"/>
    <n v="108.9"/>
    <n v="109.7"/>
    <n v="3.6596523330284145E-3"/>
    <n v="108.7"/>
    <n v="107.5"/>
    <n v="-9.2936802973972422E-4"/>
    <n v="108"/>
    <n v="106.6"/>
    <n v="109.9"/>
    <n v="105.4"/>
    <n v="107.9"/>
    <n v="112.4"/>
  </r>
  <r>
    <x v="0"/>
    <x v="1"/>
    <n v="8"/>
    <x v="75"/>
    <n v="121.8"/>
    <n v="122.8"/>
    <n v="117.8"/>
    <n v="121.9"/>
    <n v="110.6"/>
    <n v="129.69999999999999"/>
    <n v="161.1"/>
    <n v="114.1"/>
    <n v="105.1"/>
    <n v="114.6"/>
    <n v="115.8"/>
    <n v="121.7"/>
    <n v="125.3"/>
    <n v="7.461406518010294E-2"/>
    <n v="118.8"/>
    <n v="120.9"/>
    <n v="118.8"/>
    <n v="120.7"/>
    <s v="NA"/>
    <n v="115.4"/>
    <n v="5.1959890610756634E-2"/>
    <n v="115.9"/>
    <n v="114"/>
    <n v="6.0465116279069767E-2"/>
    <n v="113.2"/>
    <n v="112.2"/>
    <n v="116.2"/>
    <n v="109.4"/>
    <n v="113.5"/>
    <n v="120.7"/>
  </r>
  <r>
    <x v="1"/>
    <x v="1"/>
    <n v="8"/>
    <x v="75"/>
    <n v="124.8"/>
    <n v="127.3"/>
    <n v="116.5"/>
    <n v="122.2"/>
    <n v="103.6"/>
    <n v="132.69999999999999"/>
    <n v="181.9"/>
    <n v="115.2"/>
    <n v="102.7"/>
    <n v="122.1"/>
    <n v="114.4"/>
    <n v="124.7"/>
    <n v="128.9"/>
    <n v="2.8731045490822095E-2"/>
    <n v="123"/>
    <n v="118.6"/>
    <n v="114.1"/>
    <n v="117.9"/>
    <n v="115.5"/>
    <n v="111.8"/>
    <n v="-3.1195840554592794E-2"/>
    <n v="115.3"/>
    <n v="112.2"/>
    <n v="-1.5789473684210503E-2"/>
    <n v="112.5"/>
    <n v="112.9"/>
    <n v="119.2"/>
    <n v="110.5"/>
    <n v="113.9"/>
    <n v="119.9"/>
  </r>
  <r>
    <x v="2"/>
    <x v="1"/>
    <n v="8"/>
    <x v="75"/>
    <n v="122.7"/>
    <n v="124.4"/>
    <n v="117.3"/>
    <n v="122"/>
    <n v="108"/>
    <n v="131.1"/>
    <n v="168.2"/>
    <n v="114.5"/>
    <n v="104.3"/>
    <n v="117.1"/>
    <n v="115.2"/>
    <n v="123.1"/>
    <n v="126.6"/>
    <n v="-1.7843289371605984E-2"/>
    <n v="119.9"/>
    <n v="120"/>
    <n v="116.8"/>
    <n v="119.6"/>
    <n v="115.5"/>
    <n v="114"/>
    <n v="1.9677996422182494E-2"/>
    <n v="115.6"/>
    <n v="113.3"/>
    <n v="9.8039215686274005E-3"/>
    <n v="112.8"/>
    <n v="112.6"/>
    <n v="118"/>
    <n v="109.9"/>
    <n v="113.7"/>
    <n v="120.3"/>
  </r>
  <r>
    <x v="0"/>
    <x v="2"/>
    <n v="8"/>
    <x v="76"/>
    <n v="124.7"/>
    <n v="131.30000000000001"/>
    <n v="121.3"/>
    <n v="128.80000000000001"/>
    <n v="114"/>
    <n v="134.19999999999999"/>
    <n v="153.6"/>
    <n v="137.9"/>
    <n v="93.1"/>
    <n v="123.9"/>
    <n v="121.5"/>
    <n v="132.5"/>
    <n v="129.80000000000001"/>
    <n v="2.5276461295418776E-2"/>
    <n v="130.1"/>
    <n v="129.5"/>
    <n v="126.3"/>
    <n v="129"/>
    <s v="NA"/>
    <n v="123.8"/>
    <n v="8.596491228070173E-2"/>
    <n v="123.7"/>
    <n v="121.1"/>
    <n v="6.8843777581641633E-2"/>
    <n v="113.6"/>
    <n v="118.5"/>
    <n v="123.6"/>
    <n v="112.5"/>
    <n v="118.2"/>
    <n v="126.1"/>
  </r>
  <r>
    <x v="1"/>
    <x v="2"/>
    <n v="8"/>
    <x v="76"/>
    <n v="123.1"/>
    <n v="131.69999999999999"/>
    <n v="118.1"/>
    <n v="128"/>
    <n v="106.8"/>
    <n v="130.1"/>
    <n v="165.5"/>
    <n v="156"/>
    <n v="85.3"/>
    <n v="132.69999999999999"/>
    <n v="118.8"/>
    <n v="131.69999999999999"/>
    <n v="131.1"/>
    <n v="1.0015408320492934E-2"/>
    <n v="134.19999999999999"/>
    <n v="123.7"/>
    <n v="118.2"/>
    <n v="122.9"/>
    <n v="120.9"/>
    <n v="115.3"/>
    <n v="-6.8659127625201946E-2"/>
    <n v="120"/>
    <n v="116.6"/>
    <n v="-3.7159372419488031E-2"/>
    <n v="109.9"/>
    <n v="117.2"/>
    <n v="126.2"/>
    <n v="112"/>
    <n v="116.2"/>
    <n v="123.2"/>
  </r>
  <r>
    <x v="2"/>
    <x v="2"/>
    <n v="8"/>
    <x v="76"/>
    <n v="124.2"/>
    <n v="131.4"/>
    <n v="120.1"/>
    <n v="128.5"/>
    <n v="111.4"/>
    <n v="132.30000000000001"/>
    <n v="157.6"/>
    <n v="144"/>
    <n v="90.5"/>
    <n v="126.8"/>
    <n v="120.4"/>
    <n v="132.1"/>
    <n v="130.30000000000001"/>
    <n v="-6.1022120518686726E-3"/>
    <n v="131.19999999999999"/>
    <n v="127.2"/>
    <n v="122.9"/>
    <n v="126.6"/>
    <n v="120.9"/>
    <n v="120.6"/>
    <n v="4.596704249783172E-2"/>
    <n v="122"/>
    <n v="119.4"/>
    <n v="2.4013722126929773E-2"/>
    <n v="111.7"/>
    <n v="117.8"/>
    <n v="125.1"/>
    <n v="112.3"/>
    <n v="117.2"/>
    <n v="124.8"/>
  </r>
  <r>
    <x v="0"/>
    <x v="3"/>
    <n v="8"/>
    <x v="77"/>
    <n v="130.1"/>
    <n v="138.80000000000001"/>
    <n v="130.30000000000001"/>
    <n v="135.30000000000001"/>
    <n v="119.9"/>
    <n v="140.19999999999999"/>
    <n v="156.9"/>
    <n v="172.2"/>
    <n v="112.1"/>
    <n v="134.9"/>
    <n v="128.1"/>
    <n v="140.69999999999999"/>
    <n v="138"/>
    <n v="5.9094397544128839E-2"/>
    <n v="138.9"/>
    <n v="137.80000000000001"/>
    <n v="133"/>
    <n v="137.1"/>
    <s v="NA"/>
    <n v="129.1"/>
    <n v="7.0480928689883912E-2"/>
    <n v="130.6"/>
    <n v="127"/>
    <n v="6.3651591289782192E-2"/>
    <n v="116"/>
    <n v="125.5"/>
    <n v="131.9"/>
    <n v="122"/>
    <n v="124.2"/>
    <n v="133.5"/>
  </r>
  <r>
    <x v="1"/>
    <x v="3"/>
    <n v="8"/>
    <x v="77"/>
    <n v="127.6"/>
    <n v="140.30000000000001"/>
    <n v="133.69999999999999"/>
    <n v="132.19999999999999"/>
    <n v="111.8"/>
    <n v="135.80000000000001"/>
    <n v="163.5"/>
    <n v="182.3"/>
    <n v="114.6"/>
    <n v="144.6"/>
    <n v="121.9"/>
    <n v="138.1"/>
    <n v="137.6"/>
    <n v="-2.8985507246377224E-3"/>
    <n v="143.6"/>
    <n v="128.30000000000001"/>
    <n v="121.4"/>
    <n v="127.3"/>
    <n v="127.3"/>
    <n v="114.7"/>
    <n v="-0.11154144074360954"/>
    <n v="123.9"/>
    <n v="121.2"/>
    <n v="-4.5669291338582656E-2"/>
    <n v="110.4"/>
    <n v="120.6"/>
    <n v="131.5"/>
    <n v="120.9"/>
    <n v="119.9"/>
    <n v="128.4"/>
  </r>
  <r>
    <x v="2"/>
    <x v="3"/>
    <n v="8"/>
    <x v="77"/>
    <n v="129.30000000000001"/>
    <n v="139.30000000000001"/>
    <n v="131.6"/>
    <n v="134.1"/>
    <n v="116.9"/>
    <n v="138.1"/>
    <n v="159.1"/>
    <n v="175.6"/>
    <n v="112.9"/>
    <n v="138.1"/>
    <n v="125.5"/>
    <n v="139.5"/>
    <n v="137.9"/>
    <n v="2.1802325581396177E-3"/>
    <n v="140.19999999999999"/>
    <n v="134.1"/>
    <n v="128.19999999999999"/>
    <n v="133.19999999999999"/>
    <n v="127.3"/>
    <n v="123.6"/>
    <n v="7.7593722755013E-2"/>
    <n v="127.4"/>
    <n v="124.8"/>
    <n v="2.9702970297029656E-2"/>
    <n v="113.1"/>
    <n v="122.7"/>
    <n v="131.69999999999999"/>
    <n v="121.5"/>
    <n v="122.1"/>
    <n v="131.1"/>
  </r>
  <r>
    <x v="0"/>
    <x v="4"/>
    <n v="8"/>
    <x v="78"/>
    <n v="134.80000000000001"/>
    <n v="143.1"/>
    <n v="130"/>
    <n v="139.4"/>
    <n v="120.5"/>
    <n v="148"/>
    <n v="162.9"/>
    <n v="137.4"/>
    <n v="120.8"/>
    <n v="134.69999999999999"/>
    <n v="131.6"/>
    <n v="148.69999999999999"/>
    <n v="140.6"/>
    <n v="1.9579405366207312E-2"/>
    <n v="149"/>
    <n v="145.30000000000001"/>
    <n v="139.19999999999999"/>
    <n v="144.5"/>
    <s v="NA"/>
    <n v="136.4"/>
    <n v="0.10355987055016191"/>
    <n v="137.30000000000001"/>
    <n v="133"/>
    <n v="6.5705128205128235E-2"/>
    <n v="120.3"/>
    <n v="131.5"/>
    <n v="140.19999999999999"/>
    <n v="125.4"/>
    <n v="129.69999999999999"/>
    <n v="137.80000000000001"/>
  </r>
  <r>
    <x v="1"/>
    <x v="4"/>
    <n v="8"/>
    <x v="78"/>
    <n v="133.19999999999999"/>
    <n v="143.9"/>
    <n v="128.30000000000001"/>
    <n v="138.30000000000001"/>
    <n v="114.1"/>
    <n v="142.69999999999999"/>
    <n v="179.8"/>
    <n v="123.5"/>
    <n v="122.1"/>
    <n v="137.5"/>
    <n v="124.6"/>
    <n v="144.5"/>
    <n v="140.5"/>
    <n v="-7.1123755334277609E-4"/>
    <n v="152.1"/>
    <n v="132.69999999999999"/>
    <n v="124.3"/>
    <n v="131.4"/>
    <n v="134.4"/>
    <n v="118.9"/>
    <n v="-0.1282991202346041"/>
    <n v="127.7"/>
    <n v="125.7"/>
    <n v="-5.4887218045112762E-2"/>
    <n v="114.6"/>
    <n v="124.1"/>
    <n v="135.69999999999999"/>
    <n v="123.3"/>
    <n v="123.8"/>
    <n v="132.69999999999999"/>
  </r>
  <r>
    <x v="2"/>
    <x v="4"/>
    <n v="8"/>
    <x v="78"/>
    <n v="134.30000000000001"/>
    <n v="143.4"/>
    <n v="129.30000000000001"/>
    <n v="139"/>
    <n v="118.1"/>
    <n v="145.5"/>
    <n v="168.6"/>
    <n v="132.69999999999999"/>
    <n v="121.2"/>
    <n v="135.6"/>
    <n v="128.69999999999999"/>
    <n v="146.80000000000001"/>
    <n v="140.6"/>
    <n v="7.1174377224195238E-4"/>
    <n v="149.80000000000001"/>
    <n v="140.30000000000001"/>
    <n v="133"/>
    <n v="139.30000000000001"/>
    <n v="134.4"/>
    <n v="129.80000000000001"/>
    <n v="9.1673675357443279E-2"/>
    <n v="132.80000000000001"/>
    <n v="130.19999999999999"/>
    <n v="3.5799522673030909E-2"/>
    <n v="117.3"/>
    <n v="127.3"/>
    <n v="137.6"/>
    <n v="124.5"/>
    <n v="126.8"/>
    <n v="135.4"/>
  </r>
  <r>
    <x v="0"/>
    <x v="5"/>
    <n v="8"/>
    <x v="79"/>
    <n v="139.19999999999999"/>
    <n v="148.80000000000001"/>
    <n v="139.1"/>
    <n v="143.5"/>
    <n v="125"/>
    <n v="154.4"/>
    <n v="156.30000000000001"/>
    <n v="126.8"/>
    <n v="115.4"/>
    <n v="138.6"/>
    <n v="133.80000000000001"/>
    <n v="155.19999999999999"/>
    <n v="142.69999999999999"/>
    <n v="1.4935988620199106E-2"/>
    <n v="156.4"/>
    <n v="152.1"/>
    <n v="145.80000000000001"/>
    <n v="151.30000000000001"/>
    <s v="NA"/>
    <n v="147.69999999999999"/>
    <n v="0.13790446841294279"/>
    <n v="143.80000000000001"/>
    <n v="139.4"/>
    <n v="7.0660522273425633E-2"/>
    <n v="128.30000000000001"/>
    <n v="138.6"/>
    <n v="146.9"/>
    <n v="131.30000000000001"/>
    <n v="136.6"/>
    <n v="142.5"/>
  </r>
  <r>
    <x v="1"/>
    <x v="5"/>
    <n v="8"/>
    <x v="79"/>
    <n v="136.5"/>
    <n v="146.4"/>
    <n v="136.6"/>
    <n v="141.19999999999999"/>
    <n v="117.4"/>
    <n v="146.30000000000001"/>
    <n v="157.30000000000001"/>
    <n v="113.6"/>
    <n v="113.3"/>
    <n v="141.1"/>
    <n v="127.4"/>
    <n v="150.4"/>
    <n v="140.1"/>
    <n v="-1.8220042046250839E-2"/>
    <n v="162.1"/>
    <n v="140"/>
    <n v="129"/>
    <n v="138.30000000000001"/>
    <n v="144.6"/>
    <n v="129.80000000000001"/>
    <n v="-0.12119160460392674"/>
    <n v="134.4"/>
    <n v="134.9"/>
    <n v="-3.2281205164992825E-2"/>
    <n v="120.7"/>
    <n v="129.80000000000001"/>
    <n v="145.30000000000001"/>
    <n v="128.30000000000001"/>
    <n v="131"/>
    <n v="138"/>
  </r>
  <r>
    <x v="2"/>
    <x v="5"/>
    <n v="8"/>
    <x v="79"/>
    <n v="138.30000000000001"/>
    <n v="148"/>
    <n v="138.1"/>
    <n v="142.6"/>
    <n v="122.2"/>
    <n v="150.6"/>
    <n v="156.6"/>
    <n v="122.4"/>
    <n v="114.7"/>
    <n v="139.4"/>
    <n v="131.1"/>
    <n v="153"/>
    <n v="141.69999999999999"/>
    <n v="1.1420413990007098E-2"/>
    <n v="157.9"/>
    <n v="147.30000000000001"/>
    <n v="138.80000000000001"/>
    <n v="146.1"/>
    <n v="144.6"/>
    <n v="140.9"/>
    <n v="8.5516178736517665E-2"/>
    <n v="139.4"/>
    <n v="137.69999999999999"/>
    <n v="2.075611564121559E-2"/>
    <n v="124.3"/>
    <n v="133.6"/>
    <n v="146"/>
    <n v="130.1"/>
    <n v="133.9"/>
    <n v="140.4"/>
  </r>
  <r>
    <x v="0"/>
    <x v="6"/>
    <n v="8"/>
    <x v="80"/>
    <n v="139.19999999999999"/>
    <n v="161.9"/>
    <n v="137.1"/>
    <n v="144.6"/>
    <n v="124.7"/>
    <n v="145.5"/>
    <n v="156.19999999999999"/>
    <n v="131.5"/>
    <n v="111.7"/>
    <n v="142.69999999999999"/>
    <n v="138.5"/>
    <n v="156.9"/>
    <n v="144"/>
    <n v="1.6231474947071358E-2"/>
    <n v="165.1"/>
    <n v="151.80000000000001"/>
    <n v="146.6"/>
    <n v="151.1"/>
    <s v="NA"/>
    <n v="146.4"/>
    <n v="3.9034776437189493E-2"/>
    <n v="150.19999999999999"/>
    <n v="152.69999999999999"/>
    <n v="0.10893246187363835"/>
    <n v="131.4"/>
    <n v="148"/>
    <n v="159.69999999999999"/>
    <n v="138.80000000000001"/>
    <n v="144.9"/>
    <n v="145.69999999999999"/>
  </r>
  <r>
    <x v="1"/>
    <x v="6"/>
    <n v="8"/>
    <x v="80"/>
    <n v="142.1"/>
    <n v="158.30000000000001"/>
    <n v="140.80000000000001"/>
    <n v="144.9"/>
    <n v="119.9"/>
    <n v="153.9"/>
    <n v="189.1"/>
    <n v="129.80000000000001"/>
    <n v="112.7"/>
    <n v="142.5"/>
    <n v="129.80000000000001"/>
    <n v="156.19999999999999"/>
    <n v="149.1"/>
    <n v="3.5416666666666624E-2"/>
    <n v="167.9"/>
    <n v="145"/>
    <n v="132.19999999999999"/>
    <n v="143"/>
    <n v="151.6"/>
    <n v="125.5"/>
    <n v="-0.14275956284153007"/>
    <n v="138.1"/>
    <n v="141.5"/>
    <n v="-7.3346430910281535E-2"/>
    <n v="120.8"/>
    <n v="135.4"/>
    <n v="151.5"/>
    <n v="137.80000000000001"/>
    <n v="135.30000000000001"/>
    <n v="144.19999999999999"/>
  </r>
  <r>
    <x v="2"/>
    <x v="6"/>
    <n v="8"/>
    <x v="80"/>
    <n v="140.1"/>
    <n v="160.6"/>
    <n v="138.5"/>
    <n v="144.69999999999999"/>
    <n v="122.9"/>
    <n v="149.4"/>
    <n v="167.4"/>
    <n v="130.9"/>
    <n v="112"/>
    <n v="142.6"/>
    <n v="134.9"/>
    <n v="156.6"/>
    <n v="145.9"/>
    <n v="-2.1462105969148146E-2"/>
    <n v="165.8"/>
    <n v="149.1"/>
    <n v="140.6"/>
    <n v="147.9"/>
    <n v="151.6"/>
    <n v="138.5"/>
    <n v="0.10358565737051793"/>
    <n v="144.5"/>
    <n v="148.5"/>
    <n v="4.9469964664310952E-2"/>
    <n v="125.8"/>
    <n v="140.9"/>
    <n v="154.9"/>
    <n v="138.4"/>
    <n v="140.19999999999999"/>
    <n v="145"/>
  </r>
  <r>
    <x v="0"/>
    <x v="7"/>
    <n v="8"/>
    <x v="81"/>
    <n v="147.6"/>
    <n v="187.2"/>
    <n v="148.4"/>
    <n v="153.30000000000001"/>
    <n v="139.80000000000001"/>
    <n v="146.9"/>
    <n v="171"/>
    <n v="149.9"/>
    <n v="114.2"/>
    <n v="160"/>
    <n v="143.5"/>
    <n v="161.5"/>
    <n v="155.30000000000001"/>
    <n v="6.4427690198766319E-2"/>
    <n v="180.9"/>
    <n v="155.1"/>
    <n v="149.30000000000001"/>
    <n v="154.30000000000001"/>
    <s v="NA"/>
    <n v="145.80000000000001"/>
    <n v="5.2707581227436906E-2"/>
    <n v="151.9"/>
    <n v="158.80000000000001"/>
    <n v="6.9360269360269441E-2"/>
    <n v="143.6"/>
    <n v="152.19999999999999"/>
    <n v="162.69999999999999"/>
    <n v="153.6"/>
    <n v="153"/>
    <n v="154.69999999999999"/>
  </r>
  <r>
    <x v="1"/>
    <x v="7"/>
    <n v="8"/>
    <x v="81"/>
    <n v="151.6"/>
    <n v="197.8"/>
    <n v="154.5"/>
    <n v="153.4"/>
    <n v="133.4"/>
    <n v="154.5"/>
    <n v="191.9"/>
    <n v="151.30000000000001"/>
    <n v="116.8"/>
    <n v="160"/>
    <n v="136.5"/>
    <n v="163.30000000000001"/>
    <n v="159.9"/>
    <n v="2.9620090148100412E-2"/>
    <n v="187.2"/>
    <n v="150"/>
    <n v="135.19999999999999"/>
    <n v="147.80000000000001"/>
    <n v="155.5"/>
    <n v="138.30000000000001"/>
    <n v="-5.1440329218106991E-2"/>
    <n v="144.5"/>
    <n v="148.69999999999999"/>
    <n v="-6.3602015113350271E-2"/>
    <n v="133.9"/>
    <n v="141.19999999999999"/>
    <n v="155.5"/>
    <n v="155.19999999999999"/>
    <n v="144.80000000000001"/>
    <n v="152.9"/>
  </r>
  <r>
    <x v="2"/>
    <x v="7"/>
    <n v="8"/>
    <x v="81"/>
    <n v="148.9"/>
    <n v="190.9"/>
    <n v="150.80000000000001"/>
    <n v="153.30000000000001"/>
    <n v="137.4"/>
    <n v="150.4"/>
    <n v="178.1"/>
    <n v="150.4"/>
    <n v="115.1"/>
    <n v="160"/>
    <n v="140.6"/>
    <n v="162.30000000000001"/>
    <n v="157"/>
    <n v="-1.8136335209505975E-2"/>
    <n v="182.6"/>
    <n v="153.1"/>
    <n v="143.4"/>
    <n v="151.69999999999999"/>
    <n v="155.5"/>
    <n v="143"/>
    <n v="3.3984092552422185E-2"/>
    <n v="148.4"/>
    <n v="155"/>
    <n v="4.2367182246133235E-2"/>
    <n v="138.5"/>
    <n v="146"/>
    <n v="158.5"/>
    <n v="154.30000000000001"/>
    <n v="149"/>
    <n v="153.9"/>
  </r>
  <r>
    <x v="0"/>
    <x v="8"/>
    <n v="8"/>
    <x v="82"/>
    <n v="144.9"/>
    <n v="202.3"/>
    <n v="176.5"/>
    <n v="157.5"/>
    <n v="190.9"/>
    <n v="155.69999999999999"/>
    <n v="153.9"/>
    <n v="162.80000000000001"/>
    <n v="115.2"/>
    <n v="169.8"/>
    <n v="167.6"/>
    <n v="171.9"/>
    <n v="161.80000000000001"/>
    <n v="3.0573248407643385E-2"/>
    <n v="190.2"/>
    <n v="167"/>
    <n v="162.6"/>
    <n v="166.3"/>
    <s v="NA"/>
    <n v="163.1"/>
    <n v="0.14055944055944053"/>
    <n v="160.9"/>
    <n v="171.1"/>
    <n v="0.10387096774193545"/>
    <n v="157.69999999999999"/>
    <n v="161.1"/>
    <n v="167.5"/>
    <n v="160.30000000000001"/>
    <n v="163.30000000000001"/>
    <n v="163.6"/>
  </r>
  <r>
    <x v="1"/>
    <x v="8"/>
    <n v="8"/>
    <x v="82"/>
    <n v="149.30000000000001"/>
    <n v="207.4"/>
    <n v="174.1"/>
    <n v="159.19999999999999"/>
    <n v="175"/>
    <n v="161.30000000000001"/>
    <n v="183.3"/>
    <n v="164.5"/>
    <n v="120.4"/>
    <n v="166.2"/>
    <n v="154.80000000000001"/>
    <n v="175.1"/>
    <n v="167.3"/>
    <n v="3.3992583436341157E-2"/>
    <n v="196.5"/>
    <n v="159.80000000000001"/>
    <n v="143.6"/>
    <n v="157.30000000000001"/>
    <n v="162.1"/>
    <n v="160.69999999999999"/>
    <n v="-1.4714898835070545E-2"/>
    <n v="153.19999999999999"/>
    <n v="162.80000000000001"/>
    <n v="-4.8509643483342975E-2"/>
    <n v="150.4"/>
    <n v="153.69999999999999"/>
    <n v="160.4"/>
    <n v="159.6"/>
    <n v="156"/>
    <n v="162.30000000000001"/>
  </r>
  <r>
    <x v="2"/>
    <x v="8"/>
    <n v="8"/>
    <x v="82"/>
    <n v="146.6"/>
    <n v="204"/>
    <n v="172.8"/>
    <n v="158.4"/>
    <n v="188"/>
    <n v="156.80000000000001"/>
    <n v="162.19999999999999"/>
    <n v="164.1"/>
    <n v="119.7"/>
    <n v="168.8"/>
    <n v="162.69999999999999"/>
    <n v="173.9"/>
    <n v="164"/>
    <n v="-1.9725044829647407E-2"/>
    <n v="192.1"/>
    <n v="164.5"/>
    <n v="155.30000000000001"/>
    <n v="163.19999999999999"/>
    <n v="162.1"/>
    <n v="162.6"/>
    <n v="1.1823273179838244E-2"/>
    <n v="157.5"/>
    <n v="168.4"/>
    <n v="3.4398034398034363E-2"/>
    <n v="154"/>
    <n v="157.6"/>
    <n v="163.80000000000001"/>
    <n v="160"/>
    <n v="160"/>
    <n v="163.19999999999999"/>
  </r>
  <r>
    <x v="0"/>
    <x v="9"/>
    <n v="8"/>
    <x v="83"/>
    <n v="159.5"/>
    <n v="204.1"/>
    <n v="168.3"/>
    <n v="167.9"/>
    <n v="198.1"/>
    <n v="169.2"/>
    <n v="173.1"/>
    <n v="167.1"/>
    <n v="120.2"/>
    <n v="195.6"/>
    <n v="174.8"/>
    <n v="184"/>
    <n v="173.9"/>
    <n v="6.0365853658536618E-2"/>
    <n v="193.7"/>
    <n v="183.2"/>
    <n v="181.7"/>
    <n v="183"/>
    <s v="NA"/>
    <n v="179.1"/>
    <n v="0.1014760147601476"/>
    <n v="172.3"/>
    <n v="179.4"/>
    <n v="6.5320665083135387E-2"/>
    <n v="166.6"/>
    <n v="169.3"/>
    <n v="175.7"/>
    <n v="171.1"/>
    <n v="172.6"/>
    <n v="175.3"/>
  </r>
  <r>
    <x v="1"/>
    <x v="9"/>
    <n v="8"/>
    <x v="83"/>
    <n v="162.1"/>
    <n v="210.9"/>
    <n v="170.6"/>
    <n v="168.4"/>
    <n v="182.5"/>
    <n v="177.1"/>
    <n v="213.1"/>
    <n v="167.3"/>
    <n v="122.2"/>
    <n v="189.7"/>
    <n v="160.5"/>
    <n v="188.9"/>
    <n v="180.4"/>
    <n v="3.7377803335250141E-2"/>
    <n v="198.7"/>
    <n v="173.7"/>
    <n v="160"/>
    <n v="171.6"/>
    <n v="169"/>
    <n v="178.4"/>
    <n v="-3.9084310441093728E-3"/>
    <n v="164.2"/>
    <n v="172.6"/>
    <n v="-3.7904124860646662E-2"/>
    <n v="157.69999999999999"/>
    <n v="165.1"/>
    <n v="169.9"/>
    <n v="171.4"/>
    <n v="165.4"/>
    <n v="173.1"/>
  </r>
  <r>
    <x v="2"/>
    <x v="9"/>
    <n v="8"/>
    <x v="83"/>
    <n v="160.30000000000001"/>
    <n v="206.5"/>
    <n v="169.2"/>
    <n v="168.1"/>
    <n v="192.4"/>
    <n v="172.9"/>
    <n v="186.7"/>
    <n v="167.2"/>
    <n v="120.9"/>
    <n v="193.6"/>
    <n v="168.8"/>
    <n v="186.3"/>
    <n v="176.3"/>
    <n v="-2.2727272727272697E-2"/>
    <n v="195"/>
    <n v="179.5"/>
    <n v="172.7"/>
    <n v="178.5"/>
    <n v="169"/>
    <n v="178.8"/>
    <n v="2.2421524663677446E-3"/>
    <n v="168.5"/>
    <n v="176.8"/>
    <n v="2.4333719582850622E-2"/>
    <n v="161.9"/>
    <n v="166.9"/>
    <n v="172.3"/>
    <n v="171.2"/>
    <n v="169.1"/>
    <n v="174.3"/>
  </r>
  <r>
    <x v="0"/>
    <x v="0"/>
    <n v="9"/>
    <x v="84"/>
    <n v="115.4"/>
    <n v="115.7"/>
    <n v="111.7"/>
    <n v="111"/>
    <n v="107.4"/>
    <n v="110.9"/>
    <n v="154"/>
    <n v="108.1"/>
    <n v="104.2"/>
    <n v="107.9"/>
    <n v="110.4"/>
    <n v="114"/>
    <n v="117.8"/>
    <n v="-0.33182076006806588"/>
    <n v="111.7"/>
    <n v="112.7"/>
    <n v="111.4"/>
    <n v="112.5"/>
    <s v="NA"/>
    <n v="111.1"/>
    <n v="-0.37863534675615218"/>
    <n v="109.6"/>
    <n v="108.3"/>
    <n v="-0.38744343891402722"/>
    <n v="109.3"/>
    <n v="107.7"/>
    <n v="109.8"/>
    <n v="106.7"/>
    <n v="108.7"/>
    <n v="114.2"/>
  </r>
  <r>
    <x v="1"/>
    <x v="0"/>
    <n v="9"/>
    <x v="84"/>
    <n v="118.6"/>
    <n v="119.1"/>
    <n v="113.2"/>
    <n v="109.6"/>
    <n v="101.7"/>
    <n v="103.2"/>
    <n v="174.3"/>
    <n v="105.1"/>
    <n v="100.8"/>
    <n v="109.1"/>
    <n v="111.1"/>
    <n v="115.4"/>
    <n v="119.2"/>
    <n v="1.1884550084889691E-2"/>
    <n v="112.9"/>
    <n v="111.4"/>
    <n v="109"/>
    <n v="111.1"/>
    <n v="109.7"/>
    <n v="109.5"/>
    <n v="-1.4401440144014351E-2"/>
    <n v="109.6"/>
    <n v="107.9"/>
    <n v="-3.6934441366573544E-3"/>
    <n v="110.4"/>
    <n v="107.4"/>
    <n v="111.2"/>
    <n v="106.9"/>
    <n v="109.4"/>
    <n v="113.2"/>
  </r>
  <r>
    <x v="2"/>
    <x v="0"/>
    <n v="9"/>
    <x v="84"/>
    <n v="116.4"/>
    <n v="116.9"/>
    <n v="112.3"/>
    <n v="110.5"/>
    <n v="105.3"/>
    <n v="107.3"/>
    <n v="160.9"/>
    <n v="107.1"/>
    <n v="103.1"/>
    <n v="108.3"/>
    <n v="110.7"/>
    <n v="114.6"/>
    <n v="118.3"/>
    <n v="-7.5503355704698459E-3"/>
    <n v="112"/>
    <n v="112.2"/>
    <n v="110.4"/>
    <n v="111.9"/>
    <n v="109.7"/>
    <n v="110.5"/>
    <n v="9.1324200913242004E-3"/>
    <n v="109.6"/>
    <n v="108.1"/>
    <n v="1.8535681186282542E-3"/>
    <n v="109.9"/>
    <n v="107.5"/>
    <n v="110.6"/>
    <n v="106.8"/>
    <n v="109"/>
    <n v="113.7"/>
  </r>
  <r>
    <x v="0"/>
    <x v="1"/>
    <n v="9"/>
    <x v="85"/>
    <n v="122.3"/>
    <n v="122.4"/>
    <n v="117.8"/>
    <n v="122.7"/>
    <n v="110.4"/>
    <n v="129.80000000000001"/>
    <n v="158.80000000000001"/>
    <n v="115"/>
    <n v="104.7"/>
    <n v="114.9"/>
    <n v="116.5"/>
    <n v="122.6"/>
    <n v="125.3"/>
    <n v="5.9171597633136098E-2"/>
    <n v="119.5"/>
    <n v="121.7"/>
    <n v="119.2"/>
    <n v="121.3"/>
    <s v="NA"/>
    <n v="115.8"/>
    <n v="4.7963800904977351E-2"/>
    <n v="116.7"/>
    <n v="114.5"/>
    <n v="5.9204440333025035E-2"/>
    <n v="112.8"/>
    <n v="112.6"/>
    <n v="116.6"/>
    <n v="109.1"/>
    <n v="113.7"/>
    <n v="120.9"/>
  </r>
  <r>
    <x v="1"/>
    <x v="1"/>
    <n v="9"/>
    <x v="85"/>
    <n v="124.2"/>
    <n v="125.4"/>
    <n v="116.4"/>
    <n v="122.7"/>
    <n v="103.5"/>
    <n v="124.5"/>
    <n v="168.6"/>
    <n v="116.9"/>
    <n v="101.9"/>
    <n v="122.9"/>
    <n v="114.8"/>
    <n v="125.2"/>
    <n v="126.7"/>
    <n v="1.1173184357541945E-2"/>
    <n v="124.3"/>
    <n v="119.2"/>
    <n v="114.5"/>
    <n v="118.4"/>
    <n v="116.1"/>
    <n v="111.8"/>
    <n v="-3.4542314335060449E-2"/>
    <n v="115.5"/>
    <n v="112.3"/>
    <n v="-1.9213973799126663E-2"/>
    <n v="111.2"/>
    <n v="113.4"/>
    <n v="120"/>
    <n v="110"/>
    <n v="113.6"/>
    <n v="119.2"/>
  </r>
  <r>
    <x v="2"/>
    <x v="1"/>
    <n v="9"/>
    <x v="85"/>
    <n v="122.9"/>
    <n v="123.5"/>
    <n v="117.3"/>
    <n v="122.7"/>
    <n v="107.9"/>
    <n v="127.3"/>
    <n v="162.1"/>
    <n v="115.6"/>
    <n v="103.8"/>
    <n v="117.6"/>
    <n v="115.8"/>
    <n v="123.8"/>
    <n v="125.8"/>
    <n v="-7.1033938437253799E-3"/>
    <n v="120.8"/>
    <n v="120.7"/>
    <n v="117.2"/>
    <n v="120.1"/>
    <n v="116.1"/>
    <n v="114.3"/>
    <n v="2.2361359570661897E-2"/>
    <n v="116.1"/>
    <n v="113.7"/>
    <n v="1.2466607301870042E-2"/>
    <n v="112"/>
    <n v="113.1"/>
    <n v="118.6"/>
    <n v="109.5"/>
    <n v="113.7"/>
    <n v="120.1"/>
  </r>
  <r>
    <x v="0"/>
    <x v="2"/>
    <n v="9"/>
    <x v="86"/>
    <n v="125.1"/>
    <n v="131.1"/>
    <n v="120.7"/>
    <n v="129.19999999999999"/>
    <n v="114.7"/>
    <n v="132.30000000000001"/>
    <n v="158.9"/>
    <n v="142.1"/>
    <n v="92.5"/>
    <n v="125.4"/>
    <n v="121.9"/>
    <n v="132.69999999999999"/>
    <n v="131"/>
    <n v="4.1335453100159007E-2"/>
    <n v="131"/>
    <n v="130.4"/>
    <n v="126.8"/>
    <n v="129.9"/>
    <s v="NA"/>
    <n v="123.7"/>
    <n v="8.2239720034995675E-2"/>
    <n v="124.5"/>
    <n v="121.4"/>
    <n v="6.7722075637642945E-2"/>
    <n v="113.8"/>
    <n v="119.6"/>
    <n v="124.5"/>
    <n v="113.7"/>
    <n v="118.8"/>
    <n v="127"/>
  </r>
  <r>
    <x v="1"/>
    <x v="2"/>
    <n v="9"/>
    <x v="86"/>
    <n v="123.4"/>
    <n v="129"/>
    <n v="115.6"/>
    <n v="128.30000000000001"/>
    <n v="107"/>
    <n v="124"/>
    <n v="168.5"/>
    <n v="165.4"/>
    <n v="86.3"/>
    <n v="134.4"/>
    <n v="119.1"/>
    <n v="132.30000000000001"/>
    <n v="131.5"/>
    <n v="3.8167938931297708E-3"/>
    <n v="134.69999999999999"/>
    <n v="124"/>
    <n v="118.6"/>
    <n v="123.2"/>
    <n v="121.6"/>
    <n v="115.1"/>
    <n v="-6.9523039611964502E-2"/>
    <n v="120.4"/>
    <n v="117.1"/>
    <n v="-3.5420098846787575E-2"/>
    <n v="109.1"/>
    <n v="117.3"/>
    <n v="126.5"/>
    <n v="112.9"/>
    <n v="116.2"/>
    <n v="123.5"/>
  </r>
  <r>
    <x v="2"/>
    <x v="2"/>
    <n v="9"/>
    <x v="86"/>
    <n v="124.6"/>
    <n v="130.4"/>
    <n v="118.7"/>
    <n v="128.9"/>
    <n v="111.9"/>
    <n v="128.4"/>
    <n v="162.19999999999999"/>
    <n v="150"/>
    <n v="90.4"/>
    <n v="128.4"/>
    <n v="120.7"/>
    <n v="132.5"/>
    <n v="131.19999999999999"/>
    <n v="-2.281368821292862E-3"/>
    <n v="132"/>
    <n v="127.9"/>
    <n v="123.4"/>
    <n v="127.2"/>
    <n v="121.6"/>
    <n v="120.4"/>
    <n v="4.6046915725456224E-2"/>
    <n v="122.6"/>
    <n v="119.8"/>
    <n v="2.3057216054654169E-2"/>
    <n v="111.3"/>
    <n v="118.3"/>
    <n v="125.7"/>
    <n v="113.4"/>
    <n v="117.5"/>
    <n v="125.4"/>
  </r>
  <r>
    <x v="0"/>
    <x v="3"/>
    <n v="9"/>
    <x v="87"/>
    <n v="130.80000000000001"/>
    <n v="138.19999999999999"/>
    <n v="130.5"/>
    <n v="135.5"/>
    <n v="120.2"/>
    <n v="139.19999999999999"/>
    <n v="149.5"/>
    <n v="170.4"/>
    <n v="113.1"/>
    <n v="135.80000000000001"/>
    <n v="128.80000000000001"/>
    <n v="141.5"/>
    <n v="137.19999999999999"/>
    <n v="4.5731707317073177E-2"/>
    <n v="139.9"/>
    <n v="138.5"/>
    <n v="133.5"/>
    <n v="137.80000000000001"/>
    <s v="NA"/>
    <n v="129.69999999999999"/>
    <n v="7.7242524916943375E-2"/>
    <n v="131.1"/>
    <n v="127.8"/>
    <n v="6.6777963272120197E-2"/>
    <n v="117"/>
    <n v="125.7"/>
    <n v="132.19999999999999"/>
    <n v="122.8"/>
    <n v="124.9"/>
    <n v="133.4"/>
  </r>
  <r>
    <x v="1"/>
    <x v="3"/>
    <n v="9"/>
    <x v="87"/>
    <n v="128.1"/>
    <n v="137.69999999999999"/>
    <n v="130.6"/>
    <n v="132.6"/>
    <n v="111.9"/>
    <n v="132.5"/>
    <n v="152.9"/>
    <n v="173.6"/>
    <n v="115.1"/>
    <n v="144.80000000000001"/>
    <n v="122.1"/>
    <n v="138.80000000000001"/>
    <n v="135.69999999999999"/>
    <n v="-1.0932944606413995E-2"/>
    <n v="143.9"/>
    <n v="128.69999999999999"/>
    <n v="121.6"/>
    <n v="127.7"/>
    <n v="127.9"/>
    <n v="114.8"/>
    <n v="-0.11488049344641475"/>
    <n v="124.3"/>
    <n v="121.4"/>
    <n v="-5.0078247261345785E-2"/>
    <n v="111.8"/>
    <n v="120.8"/>
    <n v="131.6"/>
    <n v="121.2"/>
    <n v="120.5"/>
    <n v="128"/>
  </r>
  <r>
    <x v="2"/>
    <x v="3"/>
    <n v="9"/>
    <x v="87"/>
    <n v="129.9"/>
    <n v="138"/>
    <n v="130.5"/>
    <n v="134.4"/>
    <n v="117.2"/>
    <n v="136.1"/>
    <n v="150.69999999999999"/>
    <n v="171.5"/>
    <n v="113.8"/>
    <n v="138.80000000000001"/>
    <n v="126"/>
    <n v="140.19999999999999"/>
    <n v="136.6"/>
    <n v="6.6322770817981262E-3"/>
    <n v="141"/>
    <n v="134.6"/>
    <n v="128.6"/>
    <n v="133.80000000000001"/>
    <n v="127.9"/>
    <n v="124.1"/>
    <n v="8.1010452961672447E-2"/>
    <n v="127.9"/>
    <n v="125.4"/>
    <n v="3.2948929159802305E-2"/>
    <n v="114.3"/>
    <n v="122.9"/>
    <n v="131.80000000000001"/>
    <n v="122.1"/>
    <n v="122.8"/>
    <n v="130.9"/>
  </r>
  <r>
    <x v="0"/>
    <x v="4"/>
    <n v="9"/>
    <x v="88"/>
    <n v="135.19999999999999"/>
    <n v="142"/>
    <n v="130.5"/>
    <n v="140.19999999999999"/>
    <n v="120.7"/>
    <n v="147.80000000000001"/>
    <n v="154.5"/>
    <n v="137.1"/>
    <n v="121"/>
    <n v="134.69999999999999"/>
    <n v="131.69999999999999"/>
    <n v="149.30000000000001"/>
    <n v="139.6"/>
    <n v="2.1961932650073207E-2"/>
    <n v="149.80000000000001"/>
    <n v="146.1"/>
    <n v="139.69999999999999"/>
    <n v="145.19999999999999"/>
    <s v="NA"/>
    <n v="137.4"/>
    <n v="0.10717163577759881"/>
    <n v="137.9"/>
    <n v="133.4"/>
    <n v="6.3795853269537475E-2"/>
    <n v="121.2"/>
    <n v="132.30000000000001"/>
    <n v="139.6"/>
    <n v="126.7"/>
    <n v="130.30000000000001"/>
    <n v="137.6"/>
  </r>
  <r>
    <x v="1"/>
    <x v="4"/>
    <n v="9"/>
    <x v="88"/>
    <n v="133.6"/>
    <n v="143"/>
    <n v="129.69999999999999"/>
    <n v="138.69999999999999"/>
    <n v="114.5"/>
    <n v="137.5"/>
    <n v="160.69999999999999"/>
    <n v="124.5"/>
    <n v="122.4"/>
    <n v="137.30000000000001"/>
    <n v="124.8"/>
    <n v="145"/>
    <n v="138"/>
    <n v="-1.1461318051575891E-2"/>
    <n v="153.6"/>
    <n v="133.30000000000001"/>
    <n v="124.6"/>
    <n v="132"/>
    <n v="135.69999999999999"/>
    <n v="120.6"/>
    <n v="-0.12227074235807868"/>
    <n v="128.1"/>
    <n v="126.1"/>
    <n v="-5.4722638680659755E-2"/>
    <n v="115.7"/>
    <n v="124.5"/>
    <n v="135.9"/>
    <n v="124.4"/>
    <n v="124.5"/>
    <n v="132.4"/>
  </r>
  <r>
    <x v="2"/>
    <x v="4"/>
    <n v="9"/>
    <x v="88"/>
    <n v="134.69999999999999"/>
    <n v="142.4"/>
    <n v="130.19999999999999"/>
    <n v="139.6"/>
    <n v="118.4"/>
    <n v="143"/>
    <n v="156.6"/>
    <n v="132.9"/>
    <n v="121.5"/>
    <n v="135.6"/>
    <n v="128.80000000000001"/>
    <n v="147.30000000000001"/>
    <n v="139"/>
    <n v="7.246376811594203E-3"/>
    <n v="150.80000000000001"/>
    <n v="141.1"/>
    <n v="133.4"/>
    <n v="140"/>
    <n v="135.69999999999999"/>
    <n v="131"/>
    <n v="8.6235489220563899E-2"/>
    <n v="133.30000000000001"/>
    <n v="130.6"/>
    <n v="3.5685963521015072E-2"/>
    <n v="118.3"/>
    <n v="127.9"/>
    <n v="137.4"/>
    <n v="125.7"/>
    <n v="127.5"/>
    <n v="135.19999999999999"/>
  </r>
  <r>
    <x v="0"/>
    <x v="5"/>
    <n v="9"/>
    <x v="89"/>
    <n v="139.4"/>
    <n v="147.19999999999999"/>
    <n v="136.6"/>
    <n v="143.69999999999999"/>
    <n v="124.6"/>
    <n v="150.1"/>
    <n v="149.4"/>
    <n v="125.4"/>
    <n v="114.4"/>
    <n v="138.69999999999999"/>
    <n v="133.1"/>
    <n v="155.9"/>
    <n v="141.30000000000001"/>
    <n v="1.6546762589928141E-2"/>
    <n v="157.69999999999999"/>
    <n v="152.1"/>
    <n v="146.1"/>
    <n v="151.30000000000001"/>
    <s v="NA"/>
    <n v="149"/>
    <n v="0.13740458015267176"/>
    <n v="144"/>
    <n v="140"/>
    <n v="7.1975497702909688E-2"/>
    <n v="129.9"/>
    <n v="140"/>
    <n v="147.6"/>
    <n v="132"/>
    <n v="137.4"/>
    <n v="142.1"/>
  </r>
  <r>
    <x v="1"/>
    <x v="5"/>
    <n v="9"/>
    <x v="89"/>
    <n v="137"/>
    <n v="143.1"/>
    <n v="132.80000000000001"/>
    <n v="141.5"/>
    <n v="117.8"/>
    <n v="140"/>
    <n v="151.30000000000001"/>
    <n v="113.5"/>
    <n v="112.3"/>
    <n v="141.19999999999999"/>
    <n v="127.7"/>
    <n v="151.30000000000001"/>
    <n v="138.9"/>
    <n v="-1.6985138004246322E-2"/>
    <n v="163.30000000000001"/>
    <n v="140.80000000000001"/>
    <n v="129.30000000000001"/>
    <n v="139.1"/>
    <n v="145.30000000000001"/>
    <n v="131.19999999999999"/>
    <n v="-0.11946308724832222"/>
    <n v="134.9"/>
    <n v="135.69999999999999"/>
    <n v="-3.0714285714285795E-2"/>
    <n v="122.5"/>
    <n v="130.19999999999999"/>
    <n v="145.19999999999999"/>
    <n v="129.30000000000001"/>
    <n v="131.9"/>
    <n v="138.1"/>
  </r>
  <r>
    <x v="2"/>
    <x v="5"/>
    <n v="9"/>
    <x v="89"/>
    <n v="138.6"/>
    <n v="145.80000000000001"/>
    <n v="135.1"/>
    <n v="142.9"/>
    <n v="122.1"/>
    <n v="145.4"/>
    <n v="150"/>
    <n v="121.4"/>
    <n v="113.7"/>
    <n v="139.5"/>
    <n v="130.80000000000001"/>
    <n v="153.80000000000001"/>
    <n v="140.4"/>
    <n v="1.079913606911447E-2"/>
    <n v="159.19999999999999"/>
    <n v="147.69999999999999"/>
    <n v="139.1"/>
    <n v="146.5"/>
    <n v="145.30000000000001"/>
    <n v="142.30000000000001"/>
    <n v="8.4603658536585552E-2"/>
    <n v="139.69999999999999"/>
    <n v="138.4"/>
    <n v="1.9896831245394379E-2"/>
    <n v="126"/>
    <n v="134.5"/>
    <n v="146.19999999999999"/>
    <n v="130.9"/>
    <n v="134.69999999999999"/>
    <n v="140.19999999999999"/>
  </r>
  <r>
    <x v="0"/>
    <x v="6"/>
    <n v="9"/>
    <x v="90"/>
    <n v="140.1"/>
    <n v="161.9"/>
    <n v="138.30000000000001"/>
    <n v="145.69999999999999"/>
    <n v="125.1"/>
    <n v="143.80000000000001"/>
    <n v="163.4"/>
    <n v="132.19999999999999"/>
    <n v="112.8"/>
    <n v="144.19999999999999"/>
    <n v="138.5"/>
    <n v="157.19999999999999"/>
    <n v="145.5"/>
    <n v="3.6324786324786286E-2"/>
    <n v="165.7"/>
    <n v="151.69999999999999"/>
    <n v="146.6"/>
    <n v="151"/>
    <s v="NA"/>
    <n v="146.9"/>
    <n v="3.2326071679550206E-2"/>
    <n v="150.30000000000001"/>
    <n v="153.4"/>
    <n v="0.10838150289017341"/>
    <n v="131.6"/>
    <n v="148.30000000000001"/>
    <n v="160.19999999999999"/>
    <n v="140.19999999999999"/>
    <n v="145.4"/>
    <n v="146.69999999999999"/>
  </r>
  <r>
    <x v="1"/>
    <x v="6"/>
    <n v="9"/>
    <x v="90"/>
    <n v="142.69999999999999"/>
    <n v="158.69999999999999"/>
    <n v="141.6"/>
    <n v="144.9"/>
    <n v="120.8"/>
    <n v="149.80000000000001"/>
    <n v="192.4"/>
    <n v="130.30000000000001"/>
    <n v="114"/>
    <n v="143.80000000000001"/>
    <n v="130"/>
    <n v="156.4"/>
    <n v="149.5"/>
    <n v="2.7491408934707903E-2"/>
    <n v="168.6"/>
    <n v="145.30000000000001"/>
    <n v="132.19999999999999"/>
    <n v="143.30000000000001"/>
    <n v="152.19999999999999"/>
    <n v="126.6"/>
    <n v="-0.13818924438393473"/>
    <n v="138.30000000000001"/>
    <n v="141.9"/>
    <n v="-7.4967405475880045E-2"/>
    <n v="121.2"/>
    <n v="135.9"/>
    <n v="151.6"/>
    <n v="139"/>
    <n v="135.69999999999999"/>
    <n v="144.69999999999999"/>
  </r>
  <r>
    <x v="2"/>
    <x v="6"/>
    <n v="9"/>
    <x v="90"/>
    <n v="140.9"/>
    <n v="160.80000000000001"/>
    <n v="139.6"/>
    <n v="145.4"/>
    <n v="123.5"/>
    <n v="146.6"/>
    <n v="173.2"/>
    <n v="131.6"/>
    <n v="113.2"/>
    <n v="144.1"/>
    <n v="135"/>
    <n v="156.80000000000001"/>
    <n v="147"/>
    <n v="-1.6722408026755852E-2"/>
    <n v="166.5"/>
    <n v="149.19999999999999"/>
    <n v="140.6"/>
    <n v="147.9"/>
    <n v="152.19999999999999"/>
    <n v="139.19999999999999"/>
    <n v="9.9526066350710859E-2"/>
    <n v="144.6"/>
    <n v="149"/>
    <n v="5.0035236081747668E-2"/>
    <n v="126.1"/>
    <n v="141.30000000000001"/>
    <n v="155.19999999999999"/>
    <n v="139.69999999999999"/>
    <n v="140.69999999999999"/>
    <n v="145.80000000000001"/>
  </r>
  <r>
    <x v="0"/>
    <x v="7"/>
    <n v="9"/>
    <x v="91"/>
    <n v="146.9"/>
    <n v="183.9"/>
    <n v="149.5"/>
    <n v="153.4"/>
    <n v="140.4"/>
    <n v="147"/>
    <n v="178.8"/>
    <n v="149.30000000000001"/>
    <n v="115.1"/>
    <n v="160"/>
    <n v="145.4"/>
    <n v="161.6"/>
    <n v="156.1"/>
    <n v="6.1904761904761865E-2"/>
    <n v="182.9"/>
    <n v="155.4"/>
    <n v="149.9"/>
    <n v="154.6"/>
    <s v="NA"/>
    <n v="146.4"/>
    <n v="5.1724137931034607E-2"/>
    <n v="151.6"/>
    <n v="159.1"/>
    <n v="6.778523489932882E-2"/>
    <n v="144.6"/>
    <n v="152.80000000000001"/>
    <n v="161.1"/>
    <n v="157.4"/>
    <n v="153.69999999999999"/>
    <n v="155.4"/>
  </r>
  <r>
    <x v="1"/>
    <x v="7"/>
    <n v="9"/>
    <x v="91"/>
    <n v="151.5"/>
    <n v="193.1"/>
    <n v="157.30000000000001"/>
    <n v="153.9"/>
    <n v="134.4"/>
    <n v="155.4"/>
    <n v="202"/>
    <n v="150.80000000000001"/>
    <n v="118.9"/>
    <n v="160.9"/>
    <n v="137.69999999999999"/>
    <n v="164.4"/>
    <n v="161.30000000000001"/>
    <n v="3.3311979500320416E-2"/>
    <n v="188.7"/>
    <n v="150.19999999999999"/>
    <n v="136.30000000000001"/>
    <n v="148.1"/>
    <n v="156.30000000000001"/>
    <n v="137.19999999999999"/>
    <n v="-6.284153005464492E-2"/>
    <n v="145.4"/>
    <n v="150"/>
    <n v="-5.7196731615336234E-2"/>
    <n v="135.1"/>
    <n v="141.80000000000001"/>
    <n v="154.9"/>
    <n v="159.80000000000001"/>
    <n v="146"/>
    <n v="154"/>
  </r>
  <r>
    <x v="2"/>
    <x v="7"/>
    <n v="9"/>
    <x v="91"/>
    <n v="148.4"/>
    <n v="187.1"/>
    <n v="152.5"/>
    <n v="153.6"/>
    <n v="138.19999999999999"/>
    <n v="150.9"/>
    <n v="186.7"/>
    <n v="149.80000000000001"/>
    <n v="116.4"/>
    <n v="160.30000000000001"/>
    <n v="142.19999999999999"/>
    <n v="162.9"/>
    <n v="158"/>
    <n v="-2.0458772473651649E-2"/>
    <n v="184.4"/>
    <n v="153.4"/>
    <n v="144.30000000000001"/>
    <n v="152"/>
    <n v="156.30000000000001"/>
    <n v="142.9"/>
    <n v="4.1545189504373303E-2"/>
    <n v="148.69999999999999"/>
    <n v="155.6"/>
    <n v="3.7333333333333295E-2"/>
    <n v="139.6"/>
    <n v="146.6"/>
    <n v="157.5"/>
    <n v="158.4"/>
    <n v="150"/>
    <n v="154.69999999999999"/>
  </r>
  <r>
    <x v="0"/>
    <x v="8"/>
    <n v="9"/>
    <x v="92"/>
    <n v="145.4"/>
    <n v="202.1"/>
    <n v="172"/>
    <n v="158"/>
    <n v="195.5"/>
    <n v="152.69999999999999"/>
    <n v="151.4"/>
    <n v="163.9"/>
    <n v="119.3"/>
    <n v="170.1"/>
    <n v="168.3"/>
    <n v="172.8"/>
    <n v="162.1"/>
    <n v="2.594936708860756E-2"/>
    <n v="190.5"/>
    <n v="167.7"/>
    <n v="163.6"/>
    <n v="167.1"/>
    <s v="NA"/>
    <n v="163.69999999999999"/>
    <n v="0.14555633310006985"/>
    <n v="161.30000000000001"/>
    <n v="171.9"/>
    <n v="0.10475578406169674"/>
    <n v="157.80000000000001"/>
    <n v="162.69999999999999"/>
    <n v="168.5"/>
    <n v="160.19999999999999"/>
    <n v="163.80000000000001"/>
    <n v="164"/>
  </r>
  <r>
    <x v="1"/>
    <x v="8"/>
    <n v="9"/>
    <x v="92"/>
    <n v="149.30000000000001"/>
    <n v="207.4"/>
    <n v="174.1"/>
    <n v="159.1"/>
    <n v="175"/>
    <n v="161.19999999999999"/>
    <n v="183.5"/>
    <n v="164.5"/>
    <n v="120.4"/>
    <n v="166.2"/>
    <n v="154.80000000000001"/>
    <n v="175.1"/>
    <n v="167.3"/>
    <n v="3.2078963602714478E-2"/>
    <n v="196.5"/>
    <n v="159.80000000000001"/>
    <n v="143.6"/>
    <n v="157.4"/>
    <n v="162.1"/>
    <n v="160.80000000000001"/>
    <n v="-1.7715332926084165E-2"/>
    <n v="153.30000000000001"/>
    <n v="162.80000000000001"/>
    <n v="-5.2937754508435103E-2"/>
    <n v="150.5"/>
    <n v="153.9"/>
    <n v="160.30000000000001"/>
    <n v="159.6"/>
    <n v="156"/>
    <n v="162.30000000000001"/>
  </r>
  <r>
    <x v="2"/>
    <x v="8"/>
    <n v="9"/>
    <x v="92"/>
    <n v="146.6"/>
    <n v="204"/>
    <n v="172.8"/>
    <n v="158.4"/>
    <n v="188"/>
    <n v="156.69999999999999"/>
    <n v="162.30000000000001"/>
    <n v="164.1"/>
    <n v="119.7"/>
    <n v="168.8"/>
    <n v="162.69999999999999"/>
    <n v="173.9"/>
    <n v="164"/>
    <n v="-1.9725044829647407E-2"/>
    <n v="192.1"/>
    <n v="164.6"/>
    <n v="155.30000000000001"/>
    <n v="163.30000000000001"/>
    <n v="162.1"/>
    <n v="162.6"/>
    <n v="1.1194029850746162E-2"/>
    <n v="157.5"/>
    <n v="168.4"/>
    <n v="3.4398034398034363E-2"/>
    <n v="154"/>
    <n v="157.69999999999999"/>
    <n v="163.69999999999999"/>
    <n v="160"/>
    <n v="160"/>
    <n v="163.19999999999999"/>
  </r>
  <r>
    <x v="0"/>
    <x v="9"/>
    <n v="9"/>
    <x v="93"/>
    <n v="162.9"/>
    <n v="206.7"/>
    <n v="169"/>
    <n v="169.5"/>
    <n v="194.1"/>
    <n v="164.1"/>
    <n v="176.9"/>
    <n v="169"/>
    <n v="120.8"/>
    <n v="199.1"/>
    <n v="175.4"/>
    <n v="184.8"/>
    <n v="175.5"/>
    <n v="7.0121951219512202E-2"/>
    <n v="194.5"/>
    <n v="184.7"/>
    <n v="183.3"/>
    <n v="184.5"/>
    <s v="NA"/>
    <n v="179.7"/>
    <n v="0.10516605166051657"/>
    <n v="173.6"/>
    <n v="180.2"/>
    <n v="7.0071258907363321E-2"/>
    <n v="166.9"/>
    <n v="170"/>
    <n v="176.2"/>
    <n v="170.8"/>
    <n v="173.1"/>
    <n v="176.4"/>
  </r>
  <r>
    <x v="1"/>
    <x v="9"/>
    <n v="9"/>
    <x v="93"/>
    <n v="164.9"/>
    <n v="213.7"/>
    <n v="170.9"/>
    <n v="170.1"/>
    <n v="179.3"/>
    <n v="167.5"/>
    <n v="220.8"/>
    <n v="169.2"/>
    <n v="123.1"/>
    <n v="193.6"/>
    <n v="161.1"/>
    <n v="190.4"/>
    <n v="181.8"/>
    <n v="3.5897435897435964E-2"/>
    <n v="199.7"/>
    <n v="175"/>
    <n v="161.69999999999999"/>
    <n v="173"/>
    <n v="169.5"/>
    <n v="179.2"/>
    <n v="-2.782415136338342E-3"/>
    <n v="165"/>
    <n v="173.8"/>
    <n v="-3.5516093229744604E-2"/>
    <n v="158.19999999999999"/>
    <n v="165.8"/>
    <n v="170.9"/>
    <n v="171.1"/>
    <n v="166.1"/>
    <n v="174.1"/>
  </r>
  <r>
    <x v="2"/>
    <x v="9"/>
    <n v="9"/>
    <x v="93"/>
    <n v="163.5"/>
    <n v="209.2"/>
    <n v="169.7"/>
    <n v="169.7"/>
    <n v="188.7"/>
    <n v="165.7"/>
    <n v="191.8"/>
    <n v="169.1"/>
    <n v="121.6"/>
    <n v="197.3"/>
    <n v="169.4"/>
    <n v="187.4"/>
    <n v="177.8"/>
    <n v="-2.2002200220022E-2"/>
    <n v="195.9"/>
    <n v="180.9"/>
    <n v="174.3"/>
    <n v="179.9"/>
    <n v="169.5"/>
    <n v="179.5"/>
    <n v="1.6741071428572063E-3"/>
    <n v="169.5"/>
    <n v="177.8"/>
    <n v="2.3014959723820481E-2"/>
    <n v="162.30000000000001"/>
    <n v="167.6"/>
    <n v="173.1"/>
    <n v="170.9"/>
    <n v="169.7"/>
    <n v="175.3"/>
  </r>
  <r>
    <x v="0"/>
    <x v="0"/>
    <n v="10"/>
    <x v="94"/>
    <n v="116.3"/>
    <n v="115.4"/>
    <n v="112.6"/>
    <n v="111.7"/>
    <n v="107.7"/>
    <n v="113.2"/>
    <n v="164.9"/>
    <n v="108.3"/>
    <n v="103.9"/>
    <n v="108.2"/>
    <n v="111.1"/>
    <n v="114.9"/>
    <n v="119.8"/>
    <n v="-0.32620922384701917"/>
    <n v="112.2"/>
    <n v="113.6"/>
    <n v="112.3"/>
    <n v="113.4"/>
    <s v="NA"/>
    <n v="111.6"/>
    <n v="-0.3782729805013928"/>
    <n v="110.4"/>
    <n v="108.9"/>
    <n v="-0.38751406074240718"/>
    <n v="109.3"/>
    <n v="108.3"/>
    <n v="110.2"/>
    <n v="107.5"/>
    <n v="109.1"/>
    <n v="115.5"/>
  </r>
  <r>
    <x v="1"/>
    <x v="0"/>
    <n v="10"/>
    <x v="94"/>
    <n v="118.9"/>
    <n v="118.1"/>
    <n v="114.5"/>
    <n v="110.4"/>
    <n v="102.3"/>
    <n v="106.2"/>
    <n v="183.5"/>
    <n v="105.3"/>
    <n v="100.2"/>
    <n v="109.6"/>
    <n v="111.4"/>
    <n v="116"/>
    <n v="120.8"/>
    <n v="8.3472454090150246E-3"/>
    <n v="113.5"/>
    <n v="112.5"/>
    <n v="109.7"/>
    <n v="112"/>
    <n v="110.5"/>
    <n v="109.7"/>
    <n v="-1.7025089605734692E-2"/>
    <n v="110.2"/>
    <n v="108.2"/>
    <n v="-6.4279155188246354E-3"/>
    <n v="109.7"/>
    <n v="108"/>
    <n v="111.3"/>
    <n v="107.3"/>
    <n v="109.4"/>
    <n v="114"/>
  </r>
  <r>
    <x v="2"/>
    <x v="0"/>
    <n v="10"/>
    <x v="94"/>
    <n v="117.1"/>
    <n v="116.3"/>
    <n v="113.3"/>
    <n v="111.2"/>
    <n v="105.7"/>
    <n v="109.9"/>
    <n v="171.2"/>
    <n v="107.3"/>
    <n v="102.7"/>
    <n v="108.7"/>
    <n v="111.2"/>
    <n v="115.4"/>
    <n v="120.2"/>
    <n v="-4.9668874172184964E-3"/>
    <n v="112.5"/>
    <n v="113.2"/>
    <n v="111.2"/>
    <n v="112.8"/>
    <n v="110.5"/>
    <n v="110.9"/>
    <n v="1.0938924339106679E-2"/>
    <n v="110.3"/>
    <n v="108.6"/>
    <n v="3.6968576709795883E-3"/>
    <n v="109.5"/>
    <n v="108.1"/>
    <n v="110.8"/>
    <n v="107.4"/>
    <n v="109.2"/>
    <n v="114.8"/>
  </r>
  <r>
    <x v="0"/>
    <x v="1"/>
    <n v="10"/>
    <x v="95"/>
    <n v="122.6"/>
    <n v="122.5"/>
    <n v="118.3"/>
    <n v="123.2"/>
    <n v="110.5"/>
    <n v="128.9"/>
    <n v="155.30000000000001"/>
    <n v="115.5"/>
    <n v="104"/>
    <n v="115.3"/>
    <n v="116.8"/>
    <n v="123.2"/>
    <n v="125.1"/>
    <n v="4.0765391014974971E-2"/>
    <n v="120"/>
    <n v="122.7"/>
    <n v="120.3"/>
    <n v="122.3"/>
    <s v="NA"/>
    <n v="116.4"/>
    <n v="4.9594229035166817E-2"/>
    <n v="117.5"/>
    <n v="115.3"/>
    <n v="6.1694290976058962E-2"/>
    <n v="112.6"/>
    <n v="113"/>
    <n v="116.9"/>
    <n v="109.3"/>
    <n v="114"/>
    <n v="121"/>
  </r>
  <r>
    <x v="1"/>
    <x v="1"/>
    <n v="10"/>
    <x v="95"/>
    <n v="124.6"/>
    <n v="126.1"/>
    <n v="117.8"/>
    <n v="123.1"/>
    <n v="103.5"/>
    <n v="123.5"/>
    <n v="159.6"/>
    <n v="117.4"/>
    <n v="101.2"/>
    <n v="123.8"/>
    <n v="115.2"/>
    <n v="125.9"/>
    <n v="125.8"/>
    <n v="5.5955235811351147E-3"/>
    <n v="124.3"/>
    <n v="119.6"/>
    <n v="114.9"/>
    <n v="118.9"/>
    <n v="116.7"/>
    <n v="112"/>
    <n v="-3.7800687285223414E-2"/>
    <n v="115.8"/>
    <n v="112.6"/>
    <n v="-2.3417172593235065E-2"/>
    <n v="111"/>
    <n v="113.6"/>
    <n v="120.2"/>
    <n v="110.1"/>
    <n v="113.7"/>
    <n v="119.1"/>
  </r>
  <r>
    <x v="2"/>
    <x v="1"/>
    <n v="10"/>
    <x v="95"/>
    <n v="123.2"/>
    <n v="123.8"/>
    <n v="118.1"/>
    <n v="123.2"/>
    <n v="107.9"/>
    <n v="126.4"/>
    <n v="156.80000000000001"/>
    <n v="116.1"/>
    <n v="103.1"/>
    <n v="118.1"/>
    <n v="116.1"/>
    <n v="124.5"/>
    <n v="125.4"/>
    <n v="-3.1796502384737E-3"/>
    <n v="121.1"/>
    <n v="121.5"/>
    <n v="118.1"/>
    <n v="121"/>
    <n v="116.7"/>
    <n v="114.7"/>
    <n v="2.4107142857142883E-2"/>
    <n v="116.7"/>
    <n v="114.3"/>
    <n v="1.5097690941385461E-2"/>
    <n v="111.8"/>
    <n v="113.3"/>
    <n v="118.8"/>
    <n v="109.6"/>
    <n v="113.9"/>
    <n v="120.1"/>
  </r>
  <r>
    <x v="0"/>
    <x v="2"/>
    <n v="10"/>
    <x v="96"/>
    <n v="125.6"/>
    <n v="130.4"/>
    <n v="120.8"/>
    <n v="129.4"/>
    <n v="115.8"/>
    <n v="133.19999999999999"/>
    <n v="157.69999999999999"/>
    <n v="154.19999999999999"/>
    <n v="93.7"/>
    <n v="126.6"/>
    <n v="122.3"/>
    <n v="133.1"/>
    <n v="131.80000000000001"/>
    <n v="5.1036682615630026E-2"/>
    <n v="131.5"/>
    <n v="131.1"/>
    <n v="127.3"/>
    <n v="130.6"/>
    <s v="NA"/>
    <n v="124.4"/>
    <n v="8.4568439407149101E-2"/>
    <n v="125.1"/>
    <n v="122"/>
    <n v="6.7366579177602831E-2"/>
    <n v="113.8"/>
    <n v="120.1"/>
    <n v="125.1"/>
    <n v="114.2"/>
    <n v="119.2"/>
    <n v="127.7"/>
  </r>
  <r>
    <x v="1"/>
    <x v="2"/>
    <n v="10"/>
    <x v="96"/>
    <n v="123.6"/>
    <n v="128.6"/>
    <n v="115.9"/>
    <n v="128.5"/>
    <n v="109"/>
    <n v="124.1"/>
    <n v="165.8"/>
    <n v="187.2"/>
    <n v="89.4"/>
    <n v="135.80000000000001"/>
    <n v="119.4"/>
    <n v="132.9"/>
    <n v="132.6"/>
    <n v="6.0698027314110992E-3"/>
    <n v="135.30000000000001"/>
    <n v="124.4"/>
    <n v="118.8"/>
    <n v="123.6"/>
    <n v="122.4"/>
    <n v="114.9"/>
    <n v="-7.6366559485530547E-2"/>
    <n v="120.7"/>
    <n v="117.7"/>
    <n v="-3.524590163934424E-2"/>
    <n v="109.3"/>
    <n v="117.7"/>
    <n v="126.5"/>
    <n v="113.5"/>
    <n v="116.5"/>
    <n v="124.2"/>
  </r>
  <r>
    <x v="2"/>
    <x v="2"/>
    <n v="10"/>
    <x v="96"/>
    <n v="125"/>
    <n v="129.80000000000001"/>
    <n v="118.9"/>
    <n v="129.1"/>
    <n v="113.3"/>
    <n v="129"/>
    <n v="160.4"/>
    <n v="165.3"/>
    <n v="92.3"/>
    <n v="129.69999999999999"/>
    <n v="121.1"/>
    <n v="133"/>
    <n v="132.1"/>
    <n v="-3.770739064856712E-3"/>
    <n v="132.5"/>
    <n v="128.5"/>
    <n v="123.8"/>
    <n v="127.8"/>
    <n v="122.4"/>
    <n v="120.8"/>
    <n v="5.1348999129677907E-2"/>
    <n v="123"/>
    <n v="120.4"/>
    <n v="2.2939677145284644E-2"/>
    <n v="111.4"/>
    <n v="118.7"/>
    <n v="125.9"/>
    <n v="113.9"/>
    <n v="117.9"/>
    <n v="126.1"/>
  </r>
  <r>
    <x v="0"/>
    <x v="3"/>
    <n v="10"/>
    <x v="97"/>
    <n v="131.30000000000001"/>
    <n v="137.6"/>
    <n v="130.1"/>
    <n v="136"/>
    <n v="120.8"/>
    <n v="138.4"/>
    <n v="149.19999999999999"/>
    <n v="170.2"/>
    <n v="113.4"/>
    <n v="136.30000000000001"/>
    <n v="128.69999999999999"/>
    <n v="142.4"/>
    <n v="137.4"/>
    <n v="4.0121120363361178E-2"/>
    <n v="140.9"/>
    <n v="139.6"/>
    <n v="134.30000000000001"/>
    <n v="138.80000000000001"/>
    <s v="NA"/>
    <n v="129.80000000000001"/>
    <n v="7.4503311258278263E-2"/>
    <n v="131.80000000000001"/>
    <n v="128.69999999999999"/>
    <n v="6.8936877076411815E-2"/>
    <n v="117.8"/>
    <n v="126.5"/>
    <n v="133"/>
    <n v="123"/>
    <n v="125.7"/>
    <n v="133.80000000000001"/>
  </r>
  <r>
    <x v="1"/>
    <x v="3"/>
    <n v="10"/>
    <x v="97"/>
    <n v="128.69999999999999"/>
    <n v="138.4"/>
    <n v="130.30000000000001"/>
    <n v="132.69999999999999"/>
    <n v="112.5"/>
    <n v="130.4"/>
    <n v="155.1"/>
    <n v="175.7"/>
    <n v="115.4"/>
    <n v="145.30000000000001"/>
    <n v="122.5"/>
    <n v="139.6"/>
    <n v="136.30000000000001"/>
    <n v="-8.0058224163027242E-3"/>
    <n v="144.30000000000001"/>
    <n v="129.1"/>
    <n v="121.9"/>
    <n v="128"/>
    <n v="128.69999999999999"/>
    <n v="115.2"/>
    <n v="-0.11248073959938372"/>
    <n v="124.5"/>
    <n v="121.8"/>
    <n v="-5.3613053613053553E-2"/>
    <n v="112.8"/>
    <n v="121.2"/>
    <n v="131.9"/>
    <n v="120.8"/>
    <n v="120.9"/>
    <n v="128.6"/>
  </r>
  <r>
    <x v="2"/>
    <x v="3"/>
    <n v="10"/>
    <x v="97"/>
    <n v="130.5"/>
    <n v="137.9"/>
    <n v="130.19999999999999"/>
    <n v="134.80000000000001"/>
    <n v="117.8"/>
    <n v="134.69999999999999"/>
    <n v="151.19999999999999"/>
    <n v="172.1"/>
    <n v="114.1"/>
    <n v="139.30000000000001"/>
    <n v="126.1"/>
    <n v="141.1"/>
    <n v="137"/>
    <n v="5.1357300073366736E-3"/>
    <n v="141.80000000000001"/>
    <n v="135.5"/>
    <n v="129.1"/>
    <n v="134.5"/>
    <n v="128.69999999999999"/>
    <n v="124.3"/>
    <n v="7.8993055555555511E-2"/>
    <n v="128.4"/>
    <n v="126.1"/>
    <n v="3.5303776683087006E-2"/>
    <n v="115.2"/>
    <n v="123.5"/>
    <n v="132.4"/>
    <n v="122.1"/>
    <n v="123.4"/>
    <n v="131.4"/>
  </r>
  <r>
    <x v="0"/>
    <x v="4"/>
    <n v="10"/>
    <x v="98"/>
    <n v="135.9"/>
    <n v="141.9"/>
    <n v="131"/>
    <n v="141.5"/>
    <n v="121.4"/>
    <n v="146.69999999999999"/>
    <n v="157.1"/>
    <n v="136.4"/>
    <n v="121.4"/>
    <n v="135.6"/>
    <n v="131.30000000000001"/>
    <n v="150.30000000000001"/>
    <n v="140.4"/>
    <n v="2.4817518248175224E-2"/>
    <n v="150.5"/>
    <n v="147.19999999999999"/>
    <n v="140.6"/>
    <n v="146.19999999999999"/>
    <s v="NA"/>
    <n v="138.1"/>
    <n v="0.11102172164119065"/>
    <n v="138.4"/>
    <n v="134.19999999999999"/>
    <n v="6.4234734337827074E-2"/>
    <n v="121"/>
    <n v="133"/>
    <n v="140.1"/>
    <n v="127.4"/>
    <n v="130.69999999999999"/>
    <n v="138.30000000000001"/>
  </r>
  <r>
    <x v="1"/>
    <x v="4"/>
    <n v="10"/>
    <x v="98"/>
    <n v="133.9"/>
    <n v="142.80000000000001"/>
    <n v="131.4"/>
    <n v="139.1"/>
    <n v="114.9"/>
    <n v="135.6"/>
    <n v="173.2"/>
    <n v="124.1"/>
    <n v="122.6"/>
    <n v="137.80000000000001"/>
    <n v="125.1"/>
    <n v="145.5"/>
    <n v="139.69999999999999"/>
    <n v="-4.9857549857551071E-3"/>
    <n v="154.6"/>
    <n v="134"/>
    <n v="124.9"/>
    <n v="132.6"/>
    <n v="137.30000000000001"/>
    <n v="122.6"/>
    <n v="-0.11223750905141203"/>
    <n v="128.30000000000001"/>
    <n v="126.6"/>
    <n v="-5.6631892697466428E-2"/>
    <n v="115"/>
    <n v="124.8"/>
    <n v="136.30000000000001"/>
    <n v="124.6"/>
    <n v="124.5"/>
    <n v="133.5"/>
  </r>
  <r>
    <x v="2"/>
    <x v="4"/>
    <n v="10"/>
    <x v="98"/>
    <n v="135.30000000000001"/>
    <n v="142.19999999999999"/>
    <n v="131.19999999999999"/>
    <n v="140.6"/>
    <n v="119"/>
    <n v="141.5"/>
    <n v="162.6"/>
    <n v="132.30000000000001"/>
    <n v="121.8"/>
    <n v="136.30000000000001"/>
    <n v="128.69999999999999"/>
    <n v="148.1"/>
    <n v="140.1"/>
    <n v="2.863278453829676E-3"/>
    <n v="151.6"/>
    <n v="142"/>
    <n v="134.1"/>
    <n v="140.80000000000001"/>
    <n v="137.30000000000001"/>
    <n v="132.19999999999999"/>
    <n v="7.8303425774877602E-2"/>
    <n v="133.6"/>
    <n v="131.30000000000001"/>
    <n v="3.7124802527646265E-2"/>
    <n v="117.8"/>
    <n v="128.4"/>
    <n v="137.9"/>
    <n v="126.2"/>
    <n v="127.7"/>
    <n v="136.1"/>
  </r>
  <r>
    <x v="0"/>
    <x v="5"/>
    <n v="10"/>
    <x v="99"/>
    <n v="139.30000000000001"/>
    <n v="147.6"/>
    <n v="134.6"/>
    <n v="141.9"/>
    <n v="123.5"/>
    <n v="144.5"/>
    <n v="147.6"/>
    <n v="121.4"/>
    <n v="112.3"/>
    <n v="139.5"/>
    <n v="134.6"/>
    <n v="155.19999999999999"/>
    <n v="140.19999999999999"/>
    <n v="7.1377587437540556E-4"/>
    <n v="159.6"/>
    <n v="150.69999999999999"/>
    <n v="144.5"/>
    <n v="149.80000000000001"/>
    <s v="NA"/>
    <n v="149.69999999999999"/>
    <n v="0.13237518910741303"/>
    <n v="147.5"/>
    <n v="144.80000000000001"/>
    <n v="0.10281797410510281"/>
    <n v="130.80000000000001"/>
    <n v="140.1"/>
    <n v="148"/>
    <n v="134.4"/>
    <n v="139.80000000000001"/>
    <n v="142.19999999999999"/>
  </r>
  <r>
    <x v="1"/>
    <x v="5"/>
    <n v="10"/>
    <x v="99"/>
    <n v="137.6"/>
    <n v="144.9"/>
    <n v="133.5"/>
    <n v="141.5"/>
    <n v="118"/>
    <n v="139.5"/>
    <n v="153"/>
    <n v="113.2"/>
    <n v="112.8"/>
    <n v="141.1"/>
    <n v="127.6"/>
    <n v="152"/>
    <n v="139.4"/>
    <n v="-5.7061340941510913E-3"/>
    <n v="164"/>
    <n v="141.5"/>
    <n v="129.80000000000001"/>
    <n v="139.69999999999999"/>
    <n v="146.30000000000001"/>
    <n v="133.4"/>
    <n v="-0.10888443553774205"/>
    <n v="135.1"/>
    <n v="136.19999999999999"/>
    <n v="-5.9392265193370319E-2"/>
    <n v="123.3"/>
    <n v="130.69999999999999"/>
    <n v="145.5"/>
    <n v="130.4"/>
    <n v="132.5"/>
    <n v="138.9"/>
  </r>
  <r>
    <x v="2"/>
    <x v="5"/>
    <n v="10"/>
    <x v="99"/>
    <n v="137.4"/>
    <n v="149.5"/>
    <n v="137.30000000000001"/>
    <n v="141.9"/>
    <n v="121.1"/>
    <n v="142.5"/>
    <n v="146.69999999999999"/>
    <n v="119.1"/>
    <n v="111.9"/>
    <n v="141"/>
    <n v="133.6"/>
    <n v="154.5"/>
    <n v="139.69999999999999"/>
    <n v="2.1520803443327327E-3"/>
    <n v="162.6"/>
    <n v="148"/>
    <n v="139.19999999999999"/>
    <n v="146.80000000000001"/>
    <n v="146.9"/>
    <n v="145.30000000000001"/>
    <n v="8.9205397301349368E-2"/>
    <n v="142.19999999999999"/>
    <n v="142.1"/>
    <n v="4.3318649045521337E-2"/>
    <n v="125.5"/>
    <n v="136.5"/>
    <n v="147.80000000000001"/>
    <n v="132"/>
    <n v="136.30000000000001"/>
    <n v="140.80000000000001"/>
  </r>
  <r>
    <x v="0"/>
    <x v="6"/>
    <n v="10"/>
    <x v="100"/>
    <n v="141"/>
    <n v="161.6"/>
    <n v="141.19999999999999"/>
    <n v="146.5"/>
    <n v="125.6"/>
    <n v="145.69999999999999"/>
    <n v="178.8"/>
    <n v="133.1"/>
    <n v="113.6"/>
    <n v="145.5"/>
    <n v="138.6"/>
    <n v="157.4"/>
    <n v="148.30000000000001"/>
    <n v="6.1560486757337315E-2"/>
    <n v="166.3"/>
    <n v="151.69999999999999"/>
    <n v="146.69999999999999"/>
    <n v="151"/>
    <s v="NA"/>
    <n v="147.69999999999999"/>
    <n v="1.6517549896765155E-2"/>
    <n v="150.6"/>
    <n v="153.69999999999999"/>
    <n v="8.1632653061224456E-2"/>
    <n v="131.69999999999999"/>
    <n v="148.69999999999999"/>
    <n v="160.69999999999999"/>
    <n v="140.30000000000001"/>
    <n v="145.69999999999999"/>
    <n v="148.30000000000001"/>
  </r>
  <r>
    <x v="1"/>
    <x v="6"/>
    <n v="10"/>
    <x v="100"/>
    <n v="143.5"/>
    <n v="159.80000000000001"/>
    <n v="144.69999999999999"/>
    <n v="145.6"/>
    <n v="121.1"/>
    <n v="150.6"/>
    <n v="207.2"/>
    <n v="131.19999999999999"/>
    <n v="114.8"/>
    <n v="145.19999999999999"/>
    <n v="130.19999999999999"/>
    <n v="156.80000000000001"/>
    <n v="151.9"/>
    <n v="2.4275118004045814E-2"/>
    <n v="169.3"/>
    <n v="145.9"/>
    <n v="132.4"/>
    <n v="143.9"/>
    <n v="153"/>
    <n v="128.9"/>
    <n v="-0.12728503723764376"/>
    <n v="138.69999999999999"/>
    <n v="142.4"/>
    <n v="-7.3519843851658967E-2"/>
    <n v="121.5"/>
    <n v="136.19999999999999"/>
    <n v="151.69999999999999"/>
    <n v="139.5"/>
    <n v="136"/>
    <n v="146"/>
  </r>
  <r>
    <x v="2"/>
    <x v="6"/>
    <n v="10"/>
    <x v="100"/>
    <n v="141.80000000000001"/>
    <n v="161"/>
    <n v="142.6"/>
    <n v="146.19999999999999"/>
    <n v="123.9"/>
    <n v="148"/>
    <n v="188.4"/>
    <n v="132.5"/>
    <n v="114"/>
    <n v="145.4"/>
    <n v="135.1"/>
    <n v="157.1"/>
    <n v="149.6"/>
    <n v="-1.5141540487162682E-2"/>
    <n v="167.1"/>
    <n v="149.4"/>
    <n v="140.80000000000001"/>
    <n v="148.19999999999999"/>
    <n v="153"/>
    <n v="140.6"/>
    <n v="9.0768037238169036E-2"/>
    <n v="145"/>
    <n v="149.4"/>
    <n v="4.9157303370786512E-2"/>
    <n v="126.3"/>
    <n v="141.69999999999999"/>
    <n v="155.4"/>
    <n v="140"/>
    <n v="141"/>
    <n v="147.19999999999999"/>
  </r>
  <r>
    <x v="0"/>
    <x v="7"/>
    <n v="10"/>
    <x v="101"/>
    <n v="146"/>
    <n v="186.3"/>
    <n v="159.19999999999999"/>
    <n v="153.6"/>
    <n v="142.6"/>
    <n v="147.19999999999999"/>
    <n v="200.6"/>
    <n v="150.30000000000001"/>
    <n v="115.3"/>
    <n v="160.9"/>
    <n v="147.4"/>
    <n v="161.9"/>
    <n v="159.6"/>
    <n v="6.684491978609626E-2"/>
    <n v="182.7"/>
    <n v="155.69999999999999"/>
    <n v="150.6"/>
    <n v="155"/>
    <s v="NA"/>
    <n v="146.80000000000001"/>
    <n v="4.4096728307254744E-2"/>
    <n v="152"/>
    <n v="159.5"/>
    <n v="6.7603748326639845E-2"/>
    <n v="146.4"/>
    <n v="152.4"/>
    <n v="162.5"/>
    <n v="156.19999999999999"/>
    <n v="154.30000000000001"/>
    <n v="157.5"/>
  </r>
  <r>
    <x v="1"/>
    <x v="7"/>
    <n v="10"/>
    <x v="101"/>
    <n v="150.6"/>
    <n v="193.7"/>
    <n v="164.8"/>
    <n v="153.69999999999999"/>
    <n v="135.69999999999999"/>
    <n v="155.69999999999999"/>
    <n v="226"/>
    <n v="152.19999999999999"/>
    <n v="118.1"/>
    <n v="161.30000000000001"/>
    <n v="139.19999999999999"/>
    <n v="164.8"/>
    <n v="164.4"/>
    <n v="3.0075187969924883E-2"/>
    <n v="188.7"/>
    <n v="150.5"/>
    <n v="136.1"/>
    <n v="148.30000000000001"/>
    <n v="156.5"/>
    <n v="137.1"/>
    <n v="-6.6076294277929271E-2"/>
    <n v="145.1"/>
    <n v="151"/>
    <n v="-5.329153605015674E-2"/>
    <n v="135.4"/>
    <n v="142"/>
    <n v="155.69999999999999"/>
    <n v="158.1"/>
    <n v="146.19999999999999"/>
    <n v="155.19999999999999"/>
  </r>
  <r>
    <x v="2"/>
    <x v="7"/>
    <n v="10"/>
    <x v="101"/>
    <n v="147.5"/>
    <n v="188.9"/>
    <n v="161.4"/>
    <n v="153.6"/>
    <n v="140.1"/>
    <n v="151.19999999999999"/>
    <n v="209.2"/>
    <n v="150.9"/>
    <n v="116.2"/>
    <n v="161"/>
    <n v="144"/>
    <n v="163.19999999999999"/>
    <n v="161.4"/>
    <n v="-1.824817518248175E-2"/>
    <n v="184.3"/>
    <n v="153.69999999999999"/>
    <n v="144.6"/>
    <n v="152.30000000000001"/>
    <n v="156.5"/>
    <n v="143.1"/>
    <n v="4.3763676148796497E-2"/>
    <n v="148.69999999999999"/>
    <n v="156.30000000000001"/>
    <n v="3.5099337748344443E-2"/>
    <n v="140.6"/>
    <n v="146.5"/>
    <n v="158.5"/>
    <n v="157"/>
    <n v="150.4"/>
    <n v="156.4"/>
  </r>
  <r>
    <x v="0"/>
    <x v="8"/>
    <n v="10"/>
    <x v="102"/>
    <n v="146.1"/>
    <n v="202.5"/>
    <n v="170.1"/>
    <n v="158.4"/>
    <n v="198.8"/>
    <n v="152.6"/>
    <n v="170.4"/>
    <n v="165.2"/>
    <n v="121.6"/>
    <n v="170.6"/>
    <n v="168.8"/>
    <n v="173.6"/>
    <n v="165.5"/>
    <n v="2.5402726146220533E-2"/>
    <n v="191.2"/>
    <n v="168.9"/>
    <n v="164.8"/>
    <n v="168.3"/>
    <s v="NA"/>
    <n v="165.5"/>
    <n v="0.15653389238294904"/>
    <n v="162"/>
    <n v="172.5"/>
    <n v="0.10364683301343562"/>
    <n v="159.5"/>
    <n v="163.19999999999999"/>
    <n v="169"/>
    <n v="161.1"/>
    <n v="164.7"/>
    <n v="166.3"/>
  </r>
  <r>
    <x v="1"/>
    <x v="8"/>
    <n v="10"/>
    <x v="102"/>
    <n v="150.1"/>
    <n v="208.4"/>
    <n v="173"/>
    <n v="159.19999999999999"/>
    <n v="176.6"/>
    <n v="159.30000000000001"/>
    <n v="214.4"/>
    <n v="165.3"/>
    <n v="122.5"/>
    <n v="166.8"/>
    <n v="155.4"/>
    <n v="175.9"/>
    <n v="171.5"/>
    <n v="3.6253776435045321E-2"/>
    <n v="197"/>
    <n v="160.80000000000001"/>
    <n v="144.4"/>
    <n v="158.30000000000001"/>
    <n v="163.6"/>
    <n v="162.19999999999999"/>
    <n v="-1.9939577039274993E-2"/>
    <n v="154.30000000000001"/>
    <n v="163.5"/>
    <n v="-5.2173913043478258E-2"/>
    <n v="152.19999999999999"/>
    <n v="155.1"/>
    <n v="160.30000000000001"/>
    <n v="160.30000000000001"/>
    <n v="157"/>
    <n v="164.6"/>
  </r>
  <r>
    <x v="2"/>
    <x v="8"/>
    <n v="10"/>
    <x v="102"/>
    <n v="147.4"/>
    <n v="204.6"/>
    <n v="171.2"/>
    <n v="158.69999999999999"/>
    <n v="190.6"/>
    <n v="155.69999999999999"/>
    <n v="185.3"/>
    <n v="165.2"/>
    <n v="121.9"/>
    <n v="169.3"/>
    <n v="163.19999999999999"/>
    <n v="174.7"/>
    <n v="167.7"/>
    <n v="-2.2157434402332428E-2"/>
    <n v="192.7"/>
    <n v="165.7"/>
    <n v="156.30000000000001"/>
    <n v="164.3"/>
    <n v="163.6"/>
    <n v="164.2"/>
    <n v="1.2330456226880395E-2"/>
    <n v="158.4"/>
    <n v="169.1"/>
    <n v="3.4250764525993849E-2"/>
    <n v="155.69999999999999"/>
    <n v="158.6"/>
    <n v="163.9"/>
    <n v="160.80000000000001"/>
    <n v="161"/>
    <n v="165.5"/>
  </r>
  <r>
    <x v="0"/>
    <x v="9"/>
    <n v="10"/>
    <x v="103"/>
    <n v="164.7"/>
    <n v="208.8"/>
    <n v="170.3"/>
    <n v="170.9"/>
    <n v="191.6"/>
    <n v="162.19999999999999"/>
    <n v="184.8"/>
    <n v="169.7"/>
    <n v="121.1"/>
    <n v="201.6"/>
    <n v="175.8"/>
    <n v="185.6"/>
    <n v="177.4"/>
    <n v="5.7841383422778878E-2"/>
    <n v="194.9"/>
    <n v="186.1"/>
    <n v="184.4"/>
    <n v="185.9"/>
    <s v="NA"/>
    <n v="180.8"/>
    <n v="0.10109622411693071"/>
    <n v="174.4"/>
    <n v="181.2"/>
    <n v="7.1555292726197484E-2"/>
    <n v="167.4"/>
    <n v="170.6"/>
    <n v="176.5"/>
    <n v="172"/>
    <n v="173.9"/>
    <n v="177.9"/>
  </r>
  <r>
    <x v="1"/>
    <x v="9"/>
    <n v="10"/>
    <x v="103"/>
    <n v="166.4"/>
    <n v="214.9"/>
    <n v="171.9"/>
    <n v="171"/>
    <n v="177.7"/>
    <n v="165.7"/>
    <n v="228.6"/>
    <n v="169.9"/>
    <n v="123.4"/>
    <n v="196.4"/>
    <n v="161.6"/>
    <n v="191.5"/>
    <n v="183.3"/>
    <n v="3.3258173618940276E-2"/>
    <n v="200.1"/>
    <n v="175.5"/>
    <n v="162.6"/>
    <n v="173.6"/>
    <n v="171.2"/>
    <n v="180"/>
    <n v="-4.4247787610620093E-3"/>
    <n v="166"/>
    <n v="174.7"/>
    <n v="-3.5871964679911703E-2"/>
    <n v="158.80000000000001"/>
    <n v="166.3"/>
    <n v="171.2"/>
    <n v="172.3"/>
    <n v="166.8"/>
    <n v="175.3"/>
  </r>
  <r>
    <x v="2"/>
    <x v="9"/>
    <n v="10"/>
    <x v="103"/>
    <n v="165.2"/>
    <n v="210.9"/>
    <n v="170.9"/>
    <n v="170.9"/>
    <n v="186.5"/>
    <n v="163.80000000000001"/>
    <n v="199.7"/>
    <n v="169.8"/>
    <n v="121.9"/>
    <n v="199.9"/>
    <n v="169.9"/>
    <n v="188.3"/>
    <n v="179.6"/>
    <n v="-2.0185488270594746E-2"/>
    <n v="196.3"/>
    <n v="181.9"/>
    <n v="175.3"/>
    <n v="181"/>
    <n v="171.2"/>
    <n v="180.5"/>
    <n v="2.7777777777777779E-3"/>
    <n v="170.4"/>
    <n v="178.7"/>
    <n v="2.2896393817973669E-2"/>
    <n v="162.9"/>
    <n v="168.2"/>
    <n v="173.4"/>
    <n v="172.1"/>
    <n v="170.5"/>
    <n v="176.7"/>
  </r>
  <r>
    <x v="0"/>
    <x v="0"/>
    <n v="11"/>
    <x v="104"/>
    <n v="117.3"/>
    <n v="114.9"/>
    <n v="116.2"/>
    <n v="112.8"/>
    <n v="108.9"/>
    <n v="116.6"/>
    <n v="178.1"/>
    <n v="109.1"/>
    <n v="103.6"/>
    <n v="109"/>
    <n v="111.8"/>
    <n v="116"/>
    <n v="122.5"/>
    <n v="-0.3179287305122494"/>
    <n v="112.8"/>
    <n v="114.6"/>
    <n v="113.1"/>
    <n v="114.4"/>
    <s v="NA"/>
    <n v="112.6"/>
    <n v="-0.3761772853185596"/>
    <n v="111.3"/>
    <n v="109.7"/>
    <n v="-0.38612199216564069"/>
    <n v="109.6"/>
    <n v="108.7"/>
    <n v="111"/>
    <n v="108.2"/>
    <n v="109.8"/>
    <n v="117.4"/>
  </r>
  <r>
    <x v="1"/>
    <x v="0"/>
    <n v="11"/>
    <x v="104"/>
    <n v="119.8"/>
    <n v="116.3"/>
    <n v="122.6"/>
    <n v="112"/>
    <n v="103.2"/>
    <n v="110"/>
    <n v="192.8"/>
    <n v="106.3"/>
    <n v="99.5"/>
    <n v="110.3"/>
    <n v="111.8"/>
    <n v="117.1"/>
    <n v="122.9"/>
    <n v="3.2653061224490261E-3"/>
    <n v="114.1"/>
    <n v="113.5"/>
    <n v="110.3"/>
    <n v="113"/>
    <n v="111.1"/>
    <n v="110"/>
    <n v="-2.3090586145648264E-2"/>
    <n v="110.9"/>
    <n v="108.6"/>
    <n v="-1.0027347310847845E-2"/>
    <n v="109.5"/>
    <n v="108.5"/>
    <n v="111.3"/>
    <n v="107.9"/>
    <n v="109.6"/>
    <n v="115"/>
  </r>
  <r>
    <x v="2"/>
    <x v="0"/>
    <n v="11"/>
    <x v="104"/>
    <n v="118.1"/>
    <n v="115.4"/>
    <n v="118.7"/>
    <n v="112.5"/>
    <n v="106.8"/>
    <n v="113.5"/>
    <n v="183.1"/>
    <n v="108.2"/>
    <n v="102.2"/>
    <n v="109.4"/>
    <n v="111.8"/>
    <n v="116.5"/>
    <n v="122.6"/>
    <n v="-2.4410089503662438E-3"/>
    <n v="113.1"/>
    <n v="114.2"/>
    <n v="111.9"/>
    <n v="113.8"/>
    <n v="111.1"/>
    <n v="111.6"/>
    <n v="1.4545454545454493E-2"/>
    <n v="111.1"/>
    <n v="109.3"/>
    <n v="6.445672191528572E-3"/>
    <n v="109.5"/>
    <n v="108.6"/>
    <n v="111.2"/>
    <n v="108.1"/>
    <n v="109.7"/>
    <n v="116.3"/>
  </r>
  <r>
    <x v="0"/>
    <x v="1"/>
    <n v="11"/>
    <x v="105"/>
    <n v="122.7"/>
    <n v="122.6"/>
    <n v="119.9"/>
    <n v="124"/>
    <n v="110.5"/>
    <n v="128.80000000000001"/>
    <n v="152"/>
    <n v="116.2"/>
    <n v="103.3"/>
    <n v="115.8"/>
    <n v="116.8"/>
    <n v="124.5"/>
    <n v="124.9"/>
    <n v="1.8760195758564531E-2"/>
    <n v="120.8"/>
    <n v="123.3"/>
    <n v="120.5"/>
    <n v="122.9"/>
    <s v="NA"/>
    <n v="117.3"/>
    <n v="5.1075268817204332E-2"/>
    <n v="118.1"/>
    <n v="115.9"/>
    <n v="6.038426349496806E-2"/>
    <n v="112"/>
    <n v="113.3"/>
    <n v="117.2"/>
    <n v="108.8"/>
    <n v="114.1"/>
    <n v="121.1"/>
  </r>
  <r>
    <x v="1"/>
    <x v="1"/>
    <n v="11"/>
    <x v="105"/>
    <n v="124.5"/>
    <n v="125.6"/>
    <n v="122.7"/>
    <n v="124.6"/>
    <n v="103.2"/>
    <n v="122.2"/>
    <n v="153.19999999999999"/>
    <n v="119.3"/>
    <n v="99.8"/>
    <n v="124.6"/>
    <n v="115.8"/>
    <n v="126.9"/>
    <n v="125.4"/>
    <n v="4.0032025620496394E-3"/>
    <n v="125.8"/>
    <n v="120.3"/>
    <n v="115.4"/>
    <n v="119.5"/>
    <n v="117.1"/>
    <n v="112.6"/>
    <n v="-4.0068201193520912E-2"/>
    <n v="116.4"/>
    <n v="113"/>
    <n v="-2.5021570319240773E-2"/>
    <n v="109.7"/>
    <n v="114"/>
    <n v="120.3"/>
    <n v="109.6"/>
    <n v="113.4"/>
    <n v="119"/>
  </r>
  <r>
    <x v="2"/>
    <x v="1"/>
    <n v="11"/>
    <x v="105"/>
    <n v="123.3"/>
    <n v="123.7"/>
    <n v="121"/>
    <n v="124.2"/>
    <n v="107.8"/>
    <n v="125.7"/>
    <n v="152.4"/>
    <n v="117.2"/>
    <n v="102.1"/>
    <n v="118.7"/>
    <n v="116.4"/>
    <n v="125.6"/>
    <n v="125.1"/>
    <n v="-2.392344497607746E-3"/>
    <n v="122.1"/>
    <n v="122.1"/>
    <n v="118.4"/>
    <n v="121.6"/>
    <n v="117.1"/>
    <n v="115.5"/>
    <n v="2.5754884547069323E-2"/>
    <n v="117.3"/>
    <n v="114.8"/>
    <n v="1.5929203539822984E-2"/>
    <n v="110.8"/>
    <n v="113.7"/>
    <n v="119"/>
    <n v="109.1"/>
    <n v="113.8"/>
    <n v="120.1"/>
  </r>
  <r>
    <x v="0"/>
    <x v="2"/>
    <n v="11"/>
    <x v="106"/>
    <n v="126.1"/>
    <n v="130.6"/>
    <n v="121.7"/>
    <n v="129.5"/>
    <n v="117.8"/>
    <n v="132.1"/>
    <n v="155.19999999999999"/>
    <n v="160.80000000000001"/>
    <n v="94.5"/>
    <n v="128.30000000000001"/>
    <n v="123.1"/>
    <n v="134.19999999999999"/>
    <n v="132.4"/>
    <n v="5.8353317346123194E-2"/>
    <n v="132.19999999999999"/>
    <n v="132.1"/>
    <n v="128.19999999999999"/>
    <n v="131.5"/>
    <s v="NA"/>
    <n v="125.6"/>
    <n v="8.7445887445887396E-2"/>
    <n v="125.6"/>
    <n v="122.6"/>
    <n v="6.7944250871080122E-2"/>
    <n v="114"/>
    <n v="120.9"/>
    <n v="125.8"/>
    <n v="114.2"/>
    <n v="119.6"/>
    <n v="128.30000000000001"/>
  </r>
  <r>
    <x v="1"/>
    <x v="2"/>
    <n v="11"/>
    <x v="106"/>
    <n v="124"/>
    <n v="129.80000000000001"/>
    <n v="121.5"/>
    <n v="128.6"/>
    <n v="110"/>
    <n v="123.7"/>
    <n v="164.6"/>
    <n v="191.6"/>
    <n v="90.8"/>
    <n v="137.1"/>
    <n v="119.8"/>
    <n v="133.69999999999999"/>
    <n v="133.30000000000001"/>
    <n v="6.7975830815710393E-3"/>
    <n v="137.6"/>
    <n v="125"/>
    <n v="119.3"/>
    <n v="124.2"/>
    <n v="122.9"/>
    <n v="115.1"/>
    <n v="-8.3598726114649691E-2"/>
    <n v="121"/>
    <n v="118.1"/>
    <n v="-3.6704730831973897E-2"/>
    <n v="109.3"/>
    <n v="117.9"/>
    <n v="126.6"/>
    <n v="113.3"/>
    <n v="116.6"/>
    <n v="124.6"/>
  </r>
  <r>
    <x v="2"/>
    <x v="2"/>
    <n v="11"/>
    <x v="106"/>
    <n v="125.4"/>
    <n v="130.30000000000001"/>
    <n v="121.6"/>
    <n v="129.19999999999999"/>
    <n v="114.9"/>
    <n v="128.19999999999999"/>
    <n v="158.4"/>
    <n v="171.2"/>
    <n v="93.3"/>
    <n v="131.19999999999999"/>
    <n v="121.7"/>
    <n v="134"/>
    <n v="132.69999999999999"/>
    <n v="-4.5011252813205007E-3"/>
    <n v="133.6"/>
    <n v="129.30000000000001"/>
    <n v="124.5"/>
    <n v="128.6"/>
    <n v="122.9"/>
    <n v="121.6"/>
    <n v="5.6472632493483929E-2"/>
    <n v="123.4"/>
    <n v="120.9"/>
    <n v="2.3708721422523383E-2"/>
    <n v="111.5"/>
    <n v="119.2"/>
    <n v="126.3"/>
    <n v="113.8"/>
    <n v="118.1"/>
    <n v="126.6"/>
  </r>
  <r>
    <x v="0"/>
    <x v="3"/>
    <n v="11"/>
    <x v="107"/>
    <n v="132"/>
    <n v="137.4"/>
    <n v="130.6"/>
    <n v="136.19999999999999"/>
    <n v="121.1"/>
    <n v="136.9"/>
    <n v="141.80000000000001"/>
    <n v="170"/>
    <n v="113.4"/>
    <n v="136.80000000000001"/>
    <n v="128.69999999999999"/>
    <n v="143.1"/>
    <n v="136.6"/>
    <n v="2.9389600602863646E-2"/>
    <n v="141.19999999999999"/>
    <n v="139.9"/>
    <n v="134.5"/>
    <n v="139.19999999999999"/>
    <s v="NA"/>
    <n v="130.30000000000001"/>
    <n v="7.1546052631579093E-2"/>
    <n v="132.1"/>
    <n v="129.1"/>
    <n v="6.7824648469809665E-2"/>
    <n v="118.2"/>
    <n v="126.9"/>
    <n v="133.69999999999999"/>
    <n v="123.5"/>
    <n v="126.1"/>
    <n v="133.6"/>
  </r>
  <r>
    <x v="1"/>
    <x v="3"/>
    <n v="11"/>
    <x v="107"/>
    <n v="130.19999999999999"/>
    <n v="138.5"/>
    <n v="134.1"/>
    <n v="132.9"/>
    <n v="112.6"/>
    <n v="130.80000000000001"/>
    <n v="142"/>
    <n v="174.9"/>
    <n v="115.6"/>
    <n v="145.4"/>
    <n v="122.7"/>
    <n v="140.30000000000001"/>
    <n v="135.19999999999999"/>
    <n v="-1.0248901903367538E-2"/>
    <n v="144.30000000000001"/>
    <n v="129.6"/>
    <n v="122.1"/>
    <n v="128.5"/>
    <n v="129.1"/>
    <n v="116.2"/>
    <n v="-0.10821181887950888"/>
    <n v="124.7"/>
    <n v="122.1"/>
    <n v="-5.4221533694810226E-2"/>
    <n v="113.4"/>
    <n v="121.7"/>
    <n v="132.1"/>
    <n v="121.3"/>
    <n v="121.3"/>
    <n v="128.5"/>
  </r>
  <r>
    <x v="2"/>
    <x v="3"/>
    <n v="11"/>
    <x v="107"/>
    <n v="131.4"/>
    <n v="137.80000000000001"/>
    <n v="132"/>
    <n v="135"/>
    <n v="118"/>
    <n v="134.1"/>
    <n v="141.9"/>
    <n v="171.7"/>
    <n v="114.1"/>
    <n v="139.69999999999999"/>
    <n v="126.2"/>
    <n v="141.80000000000001"/>
    <n v="136.1"/>
    <n v="6.6568047337278533E-3"/>
    <n v="142"/>
    <n v="135.80000000000001"/>
    <n v="129.30000000000001"/>
    <n v="135"/>
    <n v="129.1"/>
    <n v="125"/>
    <n v="7.5731497418244378E-2"/>
    <n v="128.6"/>
    <n v="126.4"/>
    <n v="3.5217035217035314E-2"/>
    <n v="115.7"/>
    <n v="124"/>
    <n v="132.80000000000001"/>
    <n v="122.6"/>
    <n v="123.8"/>
    <n v="131.19999999999999"/>
  </r>
  <r>
    <x v="0"/>
    <x v="4"/>
    <n v="11"/>
    <x v="108"/>
    <n v="136.30000000000001"/>
    <n v="142.5"/>
    <n v="140.5"/>
    <n v="141.5"/>
    <n v="121.6"/>
    <n v="147.30000000000001"/>
    <n v="168"/>
    <n v="135.80000000000001"/>
    <n v="122.5"/>
    <n v="136"/>
    <n v="131.9"/>
    <n v="151.4"/>
    <n v="142.4"/>
    <n v="4.6289493019838437E-2"/>
    <n v="152.1"/>
    <n v="148.19999999999999"/>
    <n v="141.5"/>
    <n v="147.30000000000001"/>
    <s v="NA"/>
    <n v="141.1"/>
    <n v="0.12879999999999994"/>
    <n v="139.4"/>
    <n v="135.80000000000001"/>
    <n v="7.4367088607594972E-2"/>
    <n v="121.6"/>
    <n v="133.69999999999999"/>
    <n v="141.5"/>
    <n v="128.1"/>
    <n v="131.69999999999999"/>
    <n v="140"/>
  </r>
  <r>
    <x v="1"/>
    <x v="4"/>
    <n v="11"/>
    <x v="108"/>
    <n v="134.30000000000001"/>
    <n v="142.1"/>
    <n v="146.69999999999999"/>
    <n v="139.5"/>
    <n v="115.2"/>
    <n v="136.4"/>
    <n v="185.2"/>
    <n v="122.2"/>
    <n v="123.9"/>
    <n v="138.30000000000001"/>
    <n v="125.4"/>
    <n v="146"/>
    <n v="141.5"/>
    <n v="-6.3202247191011633E-3"/>
    <n v="156.19999999999999"/>
    <n v="135"/>
    <n v="125.4"/>
    <n v="133.5"/>
    <n v="138.6"/>
    <n v="125.7"/>
    <n v="-0.10914245216158747"/>
    <n v="128.80000000000001"/>
    <n v="127.4"/>
    <n v="-6.185567010309282E-2"/>
    <n v="115.3"/>
    <n v="125.1"/>
    <n v="136.6"/>
    <n v="124.9"/>
    <n v="124.9"/>
    <n v="134.80000000000001"/>
  </r>
  <r>
    <x v="2"/>
    <x v="4"/>
    <n v="11"/>
    <x v="108"/>
    <n v="135.69999999999999"/>
    <n v="142.4"/>
    <n v="142.9"/>
    <n v="140.80000000000001"/>
    <n v="119.2"/>
    <n v="142.19999999999999"/>
    <n v="173.8"/>
    <n v="131.19999999999999"/>
    <n v="123"/>
    <n v="136.80000000000001"/>
    <n v="129.19999999999999"/>
    <n v="148.9"/>
    <n v="142.1"/>
    <n v="4.2402826855123272E-3"/>
    <n v="153.19999999999999"/>
    <n v="143"/>
    <n v="134.80000000000001"/>
    <n v="141.80000000000001"/>
    <n v="138.6"/>
    <n v="135.30000000000001"/>
    <n v="7.6372315035799596E-2"/>
    <n v="134.4"/>
    <n v="132.6"/>
    <n v="4.0816326530612151E-2"/>
    <n v="118.3"/>
    <n v="128.9"/>
    <n v="138.6"/>
    <n v="126.8"/>
    <n v="128.4"/>
    <n v="137.6"/>
  </r>
  <r>
    <x v="0"/>
    <x v="5"/>
    <n v="11"/>
    <x v="109"/>
    <n v="137.1"/>
    <n v="150.80000000000001"/>
    <n v="136.69999999999999"/>
    <n v="141.9"/>
    <n v="122.8"/>
    <n v="143.9"/>
    <n v="147.5"/>
    <n v="121"/>
    <n v="111.6"/>
    <n v="140.6"/>
    <n v="137.5"/>
    <n v="156.1"/>
    <n v="140"/>
    <n v="-1.477832512315267E-2"/>
    <n v="161.9"/>
    <n v="151.69999999999999"/>
    <n v="145.5"/>
    <n v="150.80000000000001"/>
    <s v="NA"/>
    <n v="150.30000000000001"/>
    <n v="0.11086474501108647"/>
    <n v="148"/>
    <n v="145.4"/>
    <n v="9.6530920060331912E-2"/>
    <n v="130.30000000000001"/>
    <n v="143.1"/>
    <n v="150.19999999999999"/>
    <n v="133.1"/>
    <n v="140.1"/>
    <n v="142.4"/>
  </r>
  <r>
    <x v="1"/>
    <x v="5"/>
    <n v="11"/>
    <x v="109"/>
    <n v="138.1"/>
    <n v="146.30000000000001"/>
    <n v="137.80000000000001"/>
    <n v="141.6"/>
    <n v="118.1"/>
    <n v="141.5"/>
    <n v="145.19999999999999"/>
    <n v="115.3"/>
    <n v="112.5"/>
    <n v="141.4"/>
    <n v="128"/>
    <n v="152.6"/>
    <n v="139.1"/>
    <n v="-6.4285714285714692E-3"/>
    <n v="164.4"/>
    <n v="142.4"/>
    <n v="130.19999999999999"/>
    <n v="140.5"/>
    <n v="146.9"/>
    <n v="136.69999999999999"/>
    <n v="-9.0485695276114581E-2"/>
    <n v="135.80000000000001"/>
    <n v="136.80000000000001"/>
    <n v="-5.9147180192572174E-2"/>
    <n v="121.2"/>
    <n v="131.30000000000001"/>
    <n v="146.1"/>
    <n v="130.5"/>
    <n v="132.19999999999999"/>
    <n v="139"/>
  </r>
  <r>
    <x v="2"/>
    <x v="5"/>
    <n v="11"/>
    <x v="109"/>
    <n v="137.4"/>
    <n v="149.19999999999999"/>
    <n v="137.1"/>
    <n v="141.80000000000001"/>
    <n v="121.1"/>
    <n v="142.80000000000001"/>
    <n v="146.69999999999999"/>
    <n v="119.1"/>
    <n v="111.9"/>
    <n v="140.9"/>
    <n v="133.5"/>
    <n v="154.5"/>
    <n v="139.69999999999999"/>
    <n v="4.3134435657799734E-3"/>
    <n v="162.6"/>
    <n v="148"/>
    <n v="139.1"/>
    <n v="146.69999999999999"/>
    <n v="146.9"/>
    <n v="145.1"/>
    <n v="6.1448427212874954E-2"/>
    <n v="142.19999999999999"/>
    <n v="142.1"/>
    <n v="3.8742690058479405E-2"/>
    <n v="125.5"/>
    <n v="136.5"/>
    <n v="147.80000000000001"/>
    <n v="132"/>
    <n v="136.30000000000001"/>
    <n v="140.80000000000001"/>
  </r>
  <r>
    <x v="0"/>
    <x v="6"/>
    <n v="11"/>
    <x v="110"/>
    <n v="141.80000000000001"/>
    <n v="163.69999999999999"/>
    <n v="143.80000000000001"/>
    <n v="147.1"/>
    <n v="126"/>
    <n v="146.19999999999999"/>
    <n v="191.4"/>
    <n v="136.19999999999999"/>
    <n v="113.8"/>
    <n v="147.30000000000001"/>
    <n v="138.69999999999999"/>
    <n v="157.69999999999999"/>
    <n v="150.9"/>
    <n v="8.0171796707229903E-2"/>
    <n v="167.2"/>
    <n v="152.30000000000001"/>
    <n v="147"/>
    <n v="151.5"/>
    <s v="NA"/>
    <n v="148.4"/>
    <n v="2.2742935906271616E-2"/>
    <n v="150.9"/>
    <n v="154.30000000000001"/>
    <n v="8.5855031667839671E-2"/>
    <n v="132.1"/>
    <n v="149.1"/>
    <n v="160.80000000000001"/>
    <n v="140.6"/>
    <n v="146.1"/>
    <n v="149.9"/>
  </r>
  <r>
    <x v="1"/>
    <x v="6"/>
    <n v="11"/>
    <x v="110"/>
    <n v="144.1"/>
    <n v="162.4"/>
    <n v="148.4"/>
    <n v="145.9"/>
    <n v="121.5"/>
    <n v="148.80000000000001"/>
    <n v="215.7"/>
    <n v="134.6"/>
    <n v="115"/>
    <n v="146.30000000000001"/>
    <n v="130.5"/>
    <n v="157.19999999999999"/>
    <n v="153.6"/>
    <n v="1.789264413518879E-2"/>
    <n v="169.9"/>
    <n v="146.30000000000001"/>
    <n v="132.6"/>
    <n v="144.19999999999999"/>
    <n v="153.5"/>
    <n v="132.19999999999999"/>
    <n v="-0.10916442048517531"/>
    <n v="139.1"/>
    <n v="142.80000000000001"/>
    <n v="-7.4530136098509392E-2"/>
    <n v="121.7"/>
    <n v="136.69999999999999"/>
    <n v="151.80000000000001"/>
    <n v="139.80000000000001"/>
    <n v="136.30000000000001"/>
    <n v="147"/>
  </r>
  <r>
    <x v="2"/>
    <x v="6"/>
    <n v="11"/>
    <x v="110"/>
    <n v="142.5"/>
    <n v="163.19999999999999"/>
    <n v="145.6"/>
    <n v="146.69999999999999"/>
    <n v="124.3"/>
    <n v="147.4"/>
    <n v="199.6"/>
    <n v="135.69999999999999"/>
    <n v="114.2"/>
    <n v="147"/>
    <n v="135.30000000000001"/>
    <n v="157.5"/>
    <n v="151.9"/>
    <n v="-1.1067708333333259E-2"/>
    <n v="167.9"/>
    <n v="149.9"/>
    <n v="141"/>
    <n v="148.6"/>
    <n v="153.5"/>
    <n v="142.30000000000001"/>
    <n v="7.6399394856278544E-2"/>
    <n v="145.30000000000001"/>
    <n v="149.9"/>
    <n v="4.9719887955182028E-2"/>
    <n v="126.6"/>
    <n v="142.1"/>
    <n v="155.5"/>
    <n v="140.30000000000001"/>
    <n v="141.30000000000001"/>
    <n v="148.6"/>
  </r>
  <r>
    <x v="0"/>
    <x v="7"/>
    <n v="11"/>
    <x v="111"/>
    <n v="145.4"/>
    <n v="188.6"/>
    <n v="171.6"/>
    <n v="153.80000000000001"/>
    <n v="145.4"/>
    <n v="146.5"/>
    <n v="222.2"/>
    <n v="155.9"/>
    <n v="114.9"/>
    <n v="162"/>
    <n v="150"/>
    <n v="162.69999999999999"/>
    <n v="163.4"/>
    <n v="7.5707702435813026E-2"/>
    <n v="183.4"/>
    <n v="156.30000000000001"/>
    <n v="151"/>
    <n v="155.5"/>
    <s v="NA"/>
    <n v="147.5"/>
    <n v="3.6542515811665413E-2"/>
    <n v="152.80000000000001"/>
    <n v="160.4"/>
    <n v="7.0046697798532356E-2"/>
    <n v="146.1"/>
    <n v="153.6"/>
    <n v="161.6"/>
    <n v="156.19999999999999"/>
    <n v="154.5"/>
    <n v="159.80000000000001"/>
  </r>
  <r>
    <x v="1"/>
    <x v="7"/>
    <n v="11"/>
    <x v="111"/>
    <n v="149.69999999999999"/>
    <n v="195.5"/>
    <n v="176.9"/>
    <n v="153.9"/>
    <n v="138"/>
    <n v="150.5"/>
    <n v="245.3"/>
    <n v="158.69999999999999"/>
    <n v="117.2"/>
    <n v="161.4"/>
    <n v="141.5"/>
    <n v="165.1"/>
    <n v="167"/>
    <n v="2.203182374541E-2"/>
    <n v="188.8"/>
    <n v="151.1"/>
    <n v="136.4"/>
    <n v="148.80000000000001"/>
    <n v="158"/>
    <n v="137.30000000000001"/>
    <n v="-6.9152542372881279E-2"/>
    <n v="145.1"/>
    <n v="152"/>
    <n v="-5.2369077306733201E-2"/>
    <n v="135.19999999999999"/>
    <n v="144.4"/>
    <n v="156.4"/>
    <n v="157.9"/>
    <n v="146.6"/>
    <n v="156.69999999999999"/>
  </r>
  <r>
    <x v="2"/>
    <x v="7"/>
    <n v="11"/>
    <x v="111"/>
    <n v="146.80000000000001"/>
    <n v="191"/>
    <n v="173.6"/>
    <n v="153.80000000000001"/>
    <n v="142.69999999999999"/>
    <n v="148.4"/>
    <n v="230"/>
    <n v="156.80000000000001"/>
    <n v="115.7"/>
    <n v="161.80000000000001"/>
    <n v="146.5"/>
    <n v="163.80000000000001"/>
    <n v="164.7"/>
    <n v="-1.3772455089820427E-2"/>
    <n v="184.8"/>
    <n v="154.30000000000001"/>
    <n v="144.9"/>
    <n v="152.80000000000001"/>
    <n v="158"/>
    <n v="143.6"/>
    <n v="4.5884923525127332E-2"/>
    <n v="149.19999999999999"/>
    <n v="157.19999999999999"/>
    <n v="3.42105263157894E-2"/>
    <n v="140.4"/>
    <n v="148.4"/>
    <n v="158.6"/>
    <n v="156.9"/>
    <n v="150.69999999999999"/>
    <n v="158.4"/>
  </r>
  <r>
    <x v="0"/>
    <x v="8"/>
    <n v="11"/>
    <x v="112"/>
    <n v="146.9"/>
    <n v="199.8"/>
    <n v="171.5"/>
    <n v="159.1"/>
    <n v="198.4"/>
    <n v="153.19999999999999"/>
    <n v="183.9"/>
    <n v="165.4"/>
    <n v="122.1"/>
    <n v="170.8"/>
    <n v="169.1"/>
    <n v="174.3"/>
    <n v="167.5"/>
    <n v="1.7000607164541662E-2"/>
    <n v="191.4"/>
    <n v="170.4"/>
    <n v="166"/>
    <n v="169.8"/>
    <s v="NA"/>
    <n v="165.3"/>
    <n v="0.15111420612813384"/>
    <n v="162.9"/>
    <n v="173.4"/>
    <n v="0.10305343511450393"/>
    <n v="158.9"/>
    <n v="163.80000000000001"/>
    <n v="169.3"/>
    <n v="162.4"/>
    <n v="165.2"/>
    <n v="167.6"/>
  </r>
  <r>
    <x v="1"/>
    <x v="8"/>
    <n v="11"/>
    <x v="112"/>
    <n v="151"/>
    <n v="204.9"/>
    <n v="175.4"/>
    <n v="159.6"/>
    <n v="175.8"/>
    <n v="160.30000000000001"/>
    <n v="229.1"/>
    <n v="165.1"/>
    <n v="123.1"/>
    <n v="167.2"/>
    <n v="156.1"/>
    <n v="176.8"/>
    <n v="173.5"/>
    <n v="3.5820895522388062E-2"/>
    <n v="197"/>
    <n v="162.30000000000001"/>
    <n v="145.30000000000001"/>
    <n v="159.69999999999999"/>
    <n v="164.2"/>
    <n v="161.6"/>
    <n v="-2.238354506957058E-2"/>
    <n v="155.19999999999999"/>
    <n v="164.2"/>
    <n v="-5.3056516724336887E-2"/>
    <n v="151.19999999999999"/>
    <n v="156.69999999999999"/>
    <n v="160.80000000000001"/>
    <n v="161.80000000000001"/>
    <n v="157.30000000000001"/>
    <n v="165.6"/>
  </r>
  <r>
    <x v="2"/>
    <x v="8"/>
    <n v="11"/>
    <x v="112"/>
    <n v="148.19999999999999"/>
    <n v="201.6"/>
    <n v="173"/>
    <n v="159.30000000000001"/>
    <n v="190.1"/>
    <n v="156.5"/>
    <n v="199.2"/>
    <n v="165.3"/>
    <n v="122.4"/>
    <n v="169.6"/>
    <n v="163.69999999999999"/>
    <n v="175.5"/>
    <n v="169.7"/>
    <n v="-2.1902017291066347E-2"/>
    <n v="192.9"/>
    <n v="167.2"/>
    <n v="157.4"/>
    <n v="165.8"/>
    <n v="164.2"/>
    <n v="163.9"/>
    <n v="1.4232673267326804E-2"/>
    <n v="159.30000000000001"/>
    <n v="169.9"/>
    <n v="3.4713763702801569E-2"/>
    <n v="154.80000000000001"/>
    <n v="159.80000000000001"/>
    <n v="164.3"/>
    <n v="162.19999999999999"/>
    <n v="161.4"/>
    <n v="166.7"/>
  </r>
  <r>
    <x v="0"/>
    <x v="9"/>
    <n v="11"/>
    <x v="113"/>
    <n v="166.9"/>
    <n v="207.2"/>
    <n v="180.2"/>
    <n v="172.3"/>
    <n v="194"/>
    <n v="159.1"/>
    <n v="171.6"/>
    <n v="170.2"/>
    <n v="121.5"/>
    <n v="204.8"/>
    <n v="176.4"/>
    <n v="186.9"/>
    <n v="176.6"/>
    <n v="4.0659988214496207E-2"/>
    <n v="195.5"/>
    <n v="187.2"/>
    <n v="185.2"/>
    <n v="186.9"/>
    <s v="NA"/>
    <n v="181.9"/>
    <n v="0.10982306284319707"/>
    <n v="175.5"/>
    <n v="182.3"/>
    <n v="7.2984108298999442E-2"/>
    <n v="167.5"/>
    <n v="170.8"/>
    <n v="176.9"/>
    <n v="173.4"/>
    <n v="174.6"/>
    <n v="177.8"/>
  </r>
  <r>
    <x v="1"/>
    <x v="9"/>
    <n v="11"/>
    <x v="113"/>
    <n v="168.4"/>
    <n v="213.4"/>
    <n v="183.2"/>
    <n v="172.3"/>
    <n v="180"/>
    <n v="162.6"/>
    <n v="205.5"/>
    <n v="171"/>
    <n v="123.4"/>
    <n v="198.8"/>
    <n v="162.1"/>
    <n v="192.4"/>
    <n v="181.3"/>
    <n v="2.6613816534541434E-2"/>
    <n v="200.6"/>
    <n v="176.7"/>
    <n v="163.5"/>
    <n v="174.7"/>
    <n v="171.8"/>
    <n v="180.3"/>
    <n v="-8.7960417811984298E-3"/>
    <n v="166.9"/>
    <n v="175.8"/>
    <n v="-3.5655512890839271E-2"/>
    <n v="158.9"/>
    <n v="166.7"/>
    <n v="171.5"/>
    <n v="173.8"/>
    <n v="167.4"/>
    <n v="174.1"/>
  </r>
  <r>
    <x v="2"/>
    <x v="9"/>
    <n v="11"/>
    <x v="113"/>
    <n v="167.4"/>
    <n v="209.4"/>
    <n v="181.4"/>
    <n v="172.3"/>
    <n v="188.9"/>
    <n v="160.69999999999999"/>
    <n v="183.1"/>
    <n v="170.5"/>
    <n v="122.1"/>
    <n v="202.8"/>
    <n v="170.4"/>
    <n v="189.5"/>
    <n v="178.3"/>
    <n v="-1.6547159404302261E-2"/>
    <n v="196.9"/>
    <n v="183.1"/>
    <n v="176.2"/>
    <n v="182.1"/>
    <n v="171.8"/>
    <n v="181.3"/>
    <n v="5.5463117027176921E-3"/>
    <n v="171.4"/>
    <n v="179.8"/>
    <n v="2.2753128555176336E-2"/>
    <n v="163"/>
    <n v="168.5"/>
    <n v="173.7"/>
    <n v="173.6"/>
    <n v="171.1"/>
    <n v="176.5"/>
  </r>
  <r>
    <x v="0"/>
    <x v="0"/>
    <n v="12"/>
    <x v="114"/>
    <n v="118.4"/>
    <n v="115.9"/>
    <n v="120.4"/>
    <n v="113.8"/>
    <n v="109.5"/>
    <n v="115.5"/>
    <n v="145.69999999999999"/>
    <n v="109.5"/>
    <n v="102.9"/>
    <n v="109.8"/>
    <n v="112.1"/>
    <n v="116.8"/>
    <n v="118.7"/>
    <n v="-0.33426808749298936"/>
    <n v="113.6"/>
    <n v="115.8"/>
    <n v="114"/>
    <n v="115.5"/>
    <s v="NA"/>
    <n v="112.8"/>
    <n v="-0.37782680639823502"/>
    <n v="112.1"/>
    <n v="110.1"/>
    <n v="-0.38765294771968861"/>
    <n v="109.9"/>
    <n v="109.2"/>
    <n v="111.6"/>
    <n v="108.1"/>
    <n v="110.1"/>
    <n v="115.5"/>
  </r>
  <r>
    <x v="1"/>
    <x v="0"/>
    <n v="12"/>
    <x v="114"/>
    <n v="120.5"/>
    <n v="118.1"/>
    <n v="128.5"/>
    <n v="112.8"/>
    <n v="103.4"/>
    <n v="110.7"/>
    <n v="144.80000000000001"/>
    <n v="107.1"/>
    <n v="98.6"/>
    <n v="111.9"/>
    <n v="112.1"/>
    <n v="118.1"/>
    <n v="117.8"/>
    <n v="-7.5821398483572507E-3"/>
    <n v="115"/>
    <n v="114.2"/>
    <n v="110.9"/>
    <n v="113.7"/>
    <n v="110.7"/>
    <n v="110.4"/>
    <n v="-2.1276595744680778E-2"/>
    <n v="111.3"/>
    <n v="109"/>
    <n v="-9.9909173478655248E-3"/>
    <n v="109.7"/>
    <n v="108.9"/>
    <n v="111.4"/>
    <n v="107.7"/>
    <n v="109.8"/>
    <n v="113.3"/>
  </r>
  <r>
    <x v="2"/>
    <x v="0"/>
    <n v="12"/>
    <x v="114"/>
    <n v="119.1"/>
    <n v="116.7"/>
    <n v="123.5"/>
    <n v="113.4"/>
    <n v="107.3"/>
    <n v="113.3"/>
    <n v="145.4"/>
    <n v="108.7"/>
    <n v="101.5"/>
    <n v="110.5"/>
    <n v="112.1"/>
    <n v="117.4"/>
    <n v="118.4"/>
    <n v="5.0933786078099196E-3"/>
    <n v="114"/>
    <n v="115.2"/>
    <n v="112.7"/>
    <n v="114.8"/>
    <n v="110.7"/>
    <n v="111.9"/>
    <n v="1.358695652173913E-2"/>
    <n v="111.7"/>
    <n v="109.7"/>
    <n v="6.4220183486238796E-3"/>
    <n v="109.8"/>
    <n v="109"/>
    <n v="111.5"/>
    <n v="107.9"/>
    <n v="110"/>
    <n v="114.5"/>
  </r>
  <r>
    <x v="0"/>
    <x v="1"/>
    <n v="12"/>
    <x v="115"/>
    <n v="122.4"/>
    <n v="122.4"/>
    <n v="121.8"/>
    <n v="124.2"/>
    <n v="110.2"/>
    <n v="128.6"/>
    <n v="140.30000000000001"/>
    <n v="116.3"/>
    <n v="102"/>
    <n v="116"/>
    <n v="117.3"/>
    <n v="124.8"/>
    <n v="123.3"/>
    <n v="4.1385135135135059E-2"/>
    <n v="121.7"/>
    <n v="123.8"/>
    <n v="120.6"/>
    <n v="123.3"/>
    <s v="NA"/>
    <n v="117.4"/>
    <n v="4.9151027703306524E-2"/>
    <n v="118.2"/>
    <n v="116.2"/>
    <n v="5.9252506836827708E-2"/>
    <n v="111.5"/>
    <n v="113.3"/>
    <n v="117.7"/>
    <n v="109.4"/>
    <n v="114.2"/>
    <n v="120.3"/>
  </r>
  <r>
    <x v="1"/>
    <x v="1"/>
    <n v="12"/>
    <x v="115"/>
    <n v="124"/>
    <n v="124.7"/>
    <n v="126.3"/>
    <n v="124.9"/>
    <n v="103"/>
    <n v="122.3"/>
    <n v="141"/>
    <n v="120.1"/>
    <n v="97.8"/>
    <n v="125.4"/>
    <n v="116.1"/>
    <n v="127.6"/>
    <n v="124"/>
    <n v="5.6772100567721237E-3"/>
    <n v="126.4"/>
    <n v="120.7"/>
    <n v="115.8"/>
    <n v="120"/>
    <n v="116.5"/>
    <n v="113"/>
    <n v="-3.747870528109034E-2"/>
    <n v="116.8"/>
    <n v="113.2"/>
    <n v="-2.5817555938037865E-2"/>
    <n v="108.8"/>
    <n v="114.3"/>
    <n v="120.7"/>
    <n v="110.4"/>
    <n v="113.4"/>
    <n v="118.4"/>
  </r>
  <r>
    <x v="2"/>
    <x v="1"/>
    <n v="12"/>
    <x v="115"/>
    <n v="122.9"/>
    <n v="123.2"/>
    <n v="123.5"/>
    <n v="124.5"/>
    <n v="107.6"/>
    <n v="125.7"/>
    <n v="140.5"/>
    <n v="117.6"/>
    <n v="100.6"/>
    <n v="119.1"/>
    <n v="116.8"/>
    <n v="126.1"/>
    <n v="123.6"/>
    <n v="-3.2258064516129492E-3"/>
    <n v="123"/>
    <n v="122.6"/>
    <n v="118.6"/>
    <n v="122"/>
    <n v="116.5"/>
    <n v="115.7"/>
    <n v="2.3893805309734537E-2"/>
    <n v="117.5"/>
    <n v="115.1"/>
    <n v="1.6784452296819713E-2"/>
    <n v="110.1"/>
    <n v="113.9"/>
    <n v="119.5"/>
    <n v="109.8"/>
    <n v="113.8"/>
    <n v="119.4"/>
  </r>
  <r>
    <x v="0"/>
    <x v="2"/>
    <n v="12"/>
    <x v="116"/>
    <n v="126.3"/>
    <n v="131.30000000000001"/>
    <n v="123.3"/>
    <n v="129.80000000000001"/>
    <n v="118.3"/>
    <n v="131.6"/>
    <n v="145.5"/>
    <n v="162.1"/>
    <n v="95.4"/>
    <n v="128.9"/>
    <n v="123.3"/>
    <n v="135.1"/>
    <n v="131.4"/>
    <n v="6.3106796116504951E-2"/>
    <n v="133.1"/>
    <n v="132.5"/>
    <n v="128.5"/>
    <n v="131.9"/>
    <s v="NA"/>
    <n v="125.7"/>
    <n v="8.6430423509075191E-2"/>
    <n v="126"/>
    <n v="123.1"/>
    <n v="6.9504778453518684E-2"/>
    <n v="114"/>
    <n v="121.6"/>
    <n v="125.6"/>
    <n v="114.1"/>
    <n v="119.8"/>
    <n v="127.9"/>
  </r>
  <r>
    <x v="1"/>
    <x v="2"/>
    <n v="12"/>
    <x v="116"/>
    <n v="124.3"/>
    <n v="131.69999999999999"/>
    <n v="127.1"/>
    <n v="128.6"/>
    <n v="110"/>
    <n v="120.8"/>
    <n v="149"/>
    <n v="190.1"/>
    <n v="92.7"/>
    <n v="138.6"/>
    <n v="120.2"/>
    <n v="134.19999999999999"/>
    <n v="131.5"/>
    <n v="7.6103500761030677E-4"/>
    <n v="138.19999999999999"/>
    <n v="125.4"/>
    <n v="119.5"/>
    <n v="124.5"/>
    <n v="122.4"/>
    <n v="116"/>
    <n v="-7.7167859984089121E-2"/>
    <n v="121"/>
    <n v="118.6"/>
    <n v="-3.6555645816409424E-2"/>
    <n v="109.3"/>
    <n v="118.1"/>
    <n v="126.6"/>
    <n v="113.2"/>
    <n v="116.7"/>
    <n v="124"/>
  </r>
  <r>
    <x v="2"/>
    <x v="2"/>
    <n v="12"/>
    <x v="116"/>
    <n v="125.7"/>
    <n v="131.4"/>
    <n v="124.8"/>
    <n v="129.4"/>
    <n v="115.3"/>
    <n v="126.6"/>
    <n v="146.69999999999999"/>
    <n v="171.5"/>
    <n v="94.5"/>
    <n v="132.1"/>
    <n v="122"/>
    <n v="134.69999999999999"/>
    <n v="131.4"/>
    <n v="-7.6045627376421536E-4"/>
    <n v="134.5"/>
    <n v="129.69999999999999"/>
    <n v="124.8"/>
    <n v="129"/>
    <n v="122.4"/>
    <n v="122"/>
    <n v="5.1724137931034482E-2"/>
    <n v="123.6"/>
    <n v="121.4"/>
    <n v="2.3608768971332305E-2"/>
    <n v="111.5"/>
    <n v="119.6"/>
    <n v="126.2"/>
    <n v="113.7"/>
    <n v="118.3"/>
    <n v="126.1"/>
  </r>
  <r>
    <x v="0"/>
    <x v="3"/>
    <n v="12"/>
    <x v="117"/>
    <n v="132.6"/>
    <n v="137.30000000000001"/>
    <n v="131.6"/>
    <n v="136.30000000000001"/>
    <n v="121.6"/>
    <n v="135.6"/>
    <n v="127.5"/>
    <n v="167.9"/>
    <n v="113.8"/>
    <n v="137.5"/>
    <n v="129.1"/>
    <n v="143.6"/>
    <n v="134.69999999999999"/>
    <n v="2.5114155251141423E-2"/>
    <n v="142.4"/>
    <n v="140.4"/>
    <n v="135.19999999999999"/>
    <n v="139.69999999999999"/>
    <s v="NA"/>
    <n v="132"/>
    <n v="8.1967213114754092E-2"/>
    <n v="132.9"/>
    <n v="129.69999999999999"/>
    <n v="6.8369028006589644E-2"/>
    <n v="118.6"/>
    <n v="127.3"/>
    <n v="134.19999999999999"/>
    <n v="121.9"/>
    <n v="126.3"/>
    <n v="132.80000000000001"/>
  </r>
  <r>
    <x v="1"/>
    <x v="3"/>
    <n v="12"/>
    <x v="117"/>
    <n v="131.6"/>
    <n v="138.19999999999999"/>
    <n v="134.9"/>
    <n v="133.1"/>
    <n v="113.5"/>
    <n v="129.30000000000001"/>
    <n v="121.1"/>
    <n v="170.3"/>
    <n v="115.5"/>
    <n v="145.5"/>
    <n v="123.1"/>
    <n v="140.9"/>
    <n v="132.80000000000001"/>
    <n v="-1.4105419450630863E-2"/>
    <n v="145"/>
    <n v="130"/>
    <n v="122.2"/>
    <n v="128.80000000000001"/>
    <n v="128.5"/>
    <n v="117.8"/>
    <n v="-0.1075757575757576"/>
    <n v="125"/>
    <n v="122.3"/>
    <n v="-5.7054741711642189E-2"/>
    <n v="113.7"/>
    <n v="121.8"/>
    <n v="132.30000000000001"/>
    <n v="119.9"/>
    <n v="121.4"/>
    <n v="127.6"/>
  </r>
  <r>
    <x v="2"/>
    <x v="3"/>
    <n v="12"/>
    <x v="117"/>
    <n v="132.30000000000001"/>
    <n v="137.6"/>
    <n v="132.9"/>
    <n v="135.1"/>
    <n v="118.6"/>
    <n v="132.69999999999999"/>
    <n v="125.3"/>
    <n v="168.7"/>
    <n v="114.4"/>
    <n v="140.19999999999999"/>
    <n v="126.6"/>
    <n v="142.30000000000001"/>
    <n v="134"/>
    <n v="9.0361445783131659E-3"/>
    <n v="143.1"/>
    <n v="136.30000000000001"/>
    <n v="129.80000000000001"/>
    <n v="135.4"/>
    <n v="128.5"/>
    <n v="126.6"/>
    <n v="7.4702886247877742E-2"/>
    <n v="129.19999999999999"/>
    <n v="126.9"/>
    <n v="3.7612428454619859E-2"/>
    <n v="116"/>
    <n v="124.2"/>
    <n v="133.1"/>
    <n v="121.1"/>
    <n v="123.9"/>
    <n v="130.4"/>
  </r>
  <r>
    <x v="0"/>
    <x v="4"/>
    <n v="12"/>
    <x v="118"/>
    <n v="136.4"/>
    <n v="143.69999999999999"/>
    <n v="144.80000000000001"/>
    <n v="141.9"/>
    <n v="123.1"/>
    <n v="147.19999999999999"/>
    <n v="161"/>
    <n v="133.80000000000001"/>
    <n v="121.9"/>
    <n v="135.80000000000001"/>
    <n v="131.1"/>
    <n v="151.4"/>
    <n v="141.5"/>
    <n v="5.5970149253731345E-2"/>
    <n v="153.19999999999999"/>
    <n v="148"/>
    <n v="141.9"/>
    <n v="147.19999999999999"/>
    <s v="NA"/>
    <n v="142.6"/>
    <n v="0.12638230647709323"/>
    <n v="139.5"/>
    <n v="136.1"/>
    <n v="7.2498029944838366E-2"/>
    <n v="122"/>
    <n v="133.4"/>
    <n v="141.1"/>
    <n v="127.8"/>
    <n v="131.9"/>
    <n v="139.80000000000001"/>
  </r>
  <r>
    <x v="1"/>
    <x v="4"/>
    <n v="12"/>
    <x v="118"/>
    <n v="134.4"/>
    <n v="142.6"/>
    <n v="145.9"/>
    <n v="139.5"/>
    <n v="115.9"/>
    <n v="135"/>
    <n v="163.19999999999999"/>
    <n v="119.8"/>
    <n v="120.7"/>
    <n v="139.69999999999999"/>
    <n v="125.7"/>
    <n v="146.30000000000001"/>
    <n v="138.80000000000001"/>
    <n v="-1.9081272084805572E-2"/>
    <n v="157"/>
    <n v="135.6"/>
    <n v="125.6"/>
    <n v="134"/>
    <n v="139.1"/>
    <n v="126.8"/>
    <n v="-0.11079943899018231"/>
    <n v="129.30000000000001"/>
    <n v="128.19999999999999"/>
    <n v="-5.8045554739162425E-2"/>
    <n v="115.3"/>
    <n v="125.6"/>
    <n v="136.69999999999999"/>
    <n v="124.6"/>
    <n v="125.1"/>
    <n v="134.1"/>
  </r>
  <r>
    <x v="2"/>
    <x v="4"/>
    <n v="12"/>
    <x v="118"/>
    <n v="135.80000000000001"/>
    <n v="143.30000000000001"/>
    <n v="145.19999999999999"/>
    <n v="141"/>
    <n v="120.5"/>
    <n v="141.5"/>
    <n v="161.69999999999999"/>
    <n v="129.1"/>
    <n v="121.5"/>
    <n v="137.1"/>
    <n v="128.80000000000001"/>
    <n v="149"/>
    <n v="140.5"/>
    <n v="1.2247838616714614E-2"/>
    <n v="154.19999999999999"/>
    <n v="143.1"/>
    <n v="135.1"/>
    <n v="142"/>
    <n v="139.1"/>
    <n v="136.6"/>
    <n v="7.728706624605676E-2"/>
    <n v="134.69999999999999"/>
    <n v="133.1"/>
    <n v="3.8221528861154493E-2"/>
    <n v="118.5"/>
    <n v="129"/>
    <n v="138.5"/>
    <n v="126.5"/>
    <n v="128.6"/>
    <n v="137.19999999999999"/>
  </r>
  <r>
    <x v="0"/>
    <x v="5"/>
    <n v="12"/>
    <x v="119"/>
    <n v="137.1"/>
    <n v="151.9"/>
    <n v="137.4"/>
    <n v="142.4"/>
    <n v="124.2"/>
    <n v="140.19999999999999"/>
    <n v="136.6"/>
    <n v="120.9"/>
    <n v="109.9"/>
    <n v="140.19999999999999"/>
    <n v="137.80000000000001"/>
    <n v="156"/>
    <n v="138.5"/>
    <n v="-1.4234875444839857E-2"/>
    <n v="162.4"/>
    <n v="151.6"/>
    <n v="145.9"/>
    <n v="150.80000000000001"/>
    <s v="NA"/>
    <n v="149"/>
    <n v="9.0775988286969297E-2"/>
    <n v="149.5"/>
    <n v="149.6"/>
    <n v="0.12396694214876033"/>
    <n v="128.9"/>
    <n v="143.30000000000001"/>
    <n v="155.1"/>
    <n v="133.19999999999999"/>
    <n v="141.6"/>
    <n v="141.9"/>
  </r>
  <r>
    <x v="1"/>
    <x v="5"/>
    <n v="12"/>
    <x v="119"/>
    <n v="138.5"/>
    <n v="147.80000000000001"/>
    <n v="141.1"/>
    <n v="141.6"/>
    <n v="118.1"/>
    <n v="138.5"/>
    <n v="132.4"/>
    <n v="117.5"/>
    <n v="111"/>
    <n v="141.5"/>
    <n v="128.1"/>
    <n v="152.9"/>
    <n v="137.6"/>
    <n v="-6.4981949458484166E-3"/>
    <n v="164.6"/>
    <n v="142.69999999999999"/>
    <n v="130.30000000000001"/>
    <n v="140.80000000000001"/>
    <n v="146.5"/>
    <n v="132.4"/>
    <n v="-0.11140939597315433"/>
    <n v="136.19999999999999"/>
    <n v="137.30000000000001"/>
    <n v="-8.221925133689828E-2"/>
    <n v="118.8"/>
    <n v="131.69999999999999"/>
    <n v="146.5"/>
    <n v="130.80000000000001"/>
    <n v="131.69999999999999"/>
    <n v="138"/>
  </r>
  <r>
    <x v="2"/>
    <x v="5"/>
    <n v="12"/>
    <x v="119"/>
    <n v="137.5"/>
    <n v="150.5"/>
    <n v="138.80000000000001"/>
    <n v="142.1"/>
    <n v="122"/>
    <n v="139.4"/>
    <n v="135.19999999999999"/>
    <n v="119.8"/>
    <n v="110.3"/>
    <n v="140.6"/>
    <n v="133.80000000000001"/>
    <n v="154.6"/>
    <n v="138.19999999999999"/>
    <n v="4.3604651162790289E-3"/>
    <n v="163"/>
    <n v="148.1"/>
    <n v="139.4"/>
    <n v="146.80000000000001"/>
    <n v="146.5"/>
    <n v="142.69999999999999"/>
    <n v="7.7794561933534609E-2"/>
    <n v="143.19999999999999"/>
    <n v="144.9"/>
    <n v="5.5353241077931492E-2"/>
    <n v="123.6"/>
    <n v="136.80000000000001"/>
    <n v="150.1"/>
    <n v="132.19999999999999"/>
    <n v="136.80000000000001"/>
    <n v="140.1"/>
  </r>
  <r>
    <x v="0"/>
    <x v="6"/>
    <n v="12"/>
    <x v="120"/>
    <n v="142.80000000000001"/>
    <n v="165.3"/>
    <n v="149.5"/>
    <n v="148.69999999999999"/>
    <n v="127.5"/>
    <n v="144.30000000000001"/>
    <n v="209.5"/>
    <n v="138.80000000000001"/>
    <n v="113.6"/>
    <n v="149.1"/>
    <n v="139.30000000000001"/>
    <n v="158.30000000000001"/>
    <n v="154.30000000000001"/>
    <n v="0.11649782923299583"/>
    <n v="167.8"/>
    <n v="152.6"/>
    <n v="147.30000000000001"/>
    <n v="151.9"/>
    <s v="NA"/>
    <n v="149.9"/>
    <n v="5.0455501051156398E-2"/>
    <n v="151.19999999999999"/>
    <n v="154.80000000000001"/>
    <n v="6.8322981366459659E-2"/>
    <n v="135"/>
    <n v="149.5"/>
    <n v="161.1"/>
    <n v="140.6"/>
    <n v="147.1"/>
    <n v="152.30000000000001"/>
  </r>
  <r>
    <x v="1"/>
    <x v="6"/>
    <n v="12"/>
    <x v="120"/>
    <n v="144.9"/>
    <n v="164.5"/>
    <n v="153.69999999999999"/>
    <n v="147.5"/>
    <n v="122.7"/>
    <n v="147.19999999999999"/>
    <n v="231.5"/>
    <n v="137.19999999999999"/>
    <n v="114.7"/>
    <n v="148"/>
    <n v="130.80000000000001"/>
    <n v="157.69999999999999"/>
    <n v="156.30000000000001"/>
    <n v="1.2961762799740763E-2"/>
    <n v="170.4"/>
    <n v="146.80000000000001"/>
    <n v="132.80000000000001"/>
    <n v="144.6"/>
    <n v="152.80000000000001"/>
    <n v="133.6"/>
    <n v="-0.10873915943962649"/>
    <n v="139.80000000000001"/>
    <n v="143.19999999999999"/>
    <n v="-7.4935400516796008E-2"/>
    <n v="125.2"/>
    <n v="136.80000000000001"/>
    <n v="151.9"/>
    <n v="140.19999999999999"/>
    <n v="137.69999999999999"/>
    <n v="148.30000000000001"/>
  </r>
  <r>
    <x v="2"/>
    <x v="6"/>
    <n v="12"/>
    <x v="120"/>
    <n v="143.5"/>
    <n v="165"/>
    <n v="151.1"/>
    <n v="148.30000000000001"/>
    <n v="125.7"/>
    <n v="145.69999999999999"/>
    <n v="217"/>
    <n v="138.30000000000001"/>
    <n v="114"/>
    <n v="148.69999999999999"/>
    <n v="135.80000000000001"/>
    <n v="158"/>
    <n v="155"/>
    <n v="-8.3173384516955304E-3"/>
    <n v="168.5"/>
    <n v="150.30000000000001"/>
    <n v="141.30000000000001"/>
    <n v="149"/>
    <n v="152.80000000000001"/>
    <n v="143.69999999999999"/>
    <n v="7.5598802395209538E-2"/>
    <n v="145.80000000000001"/>
    <n v="150.4"/>
    <n v="5.0279329608938668E-2"/>
    <n v="129.80000000000001"/>
    <n v="142.30000000000001"/>
    <n v="155.69999999999999"/>
    <n v="140.4"/>
    <n v="142.5"/>
    <n v="150.4"/>
  </r>
  <r>
    <x v="0"/>
    <x v="7"/>
    <n v="12"/>
    <x v="121"/>
    <n v="144.6"/>
    <n v="188.5"/>
    <n v="173.4"/>
    <n v="154"/>
    <n v="150"/>
    <n v="145.9"/>
    <n v="225.2"/>
    <n v="159.5"/>
    <n v="114.4"/>
    <n v="163.5"/>
    <n v="153.4"/>
    <n v="163.6"/>
    <n v="164.5"/>
    <n v="6.1290322580645158E-2"/>
    <n v="183.6"/>
    <n v="157"/>
    <n v="151.6"/>
    <n v="156.30000000000001"/>
    <s v="NA"/>
    <n v="148.69999999999999"/>
    <n v="3.4794711203897009E-2"/>
    <n v="153.4"/>
    <n v="161.6"/>
    <n v="7.4468085106382906E-2"/>
    <n v="146.4"/>
    <n v="153.9"/>
    <n v="162.9"/>
    <n v="156.6"/>
    <n v="155.19999999999999"/>
    <n v="160.69999999999999"/>
  </r>
  <r>
    <x v="1"/>
    <x v="7"/>
    <n v="12"/>
    <x v="121"/>
    <n v="149"/>
    <n v="195.7"/>
    <n v="178.3"/>
    <n v="154.19999999999999"/>
    <n v="140.69999999999999"/>
    <n v="149.69999999999999"/>
    <n v="240.9"/>
    <n v="161.5"/>
    <n v="117.1"/>
    <n v="161.9"/>
    <n v="143.30000000000001"/>
    <n v="166.1"/>
    <n v="167"/>
    <n v="1.5197568389057751E-2"/>
    <n v="190.2"/>
    <n v="151.9"/>
    <n v="136.69999999999999"/>
    <n v="149.6"/>
    <n v="158.4"/>
    <n v="137.9"/>
    <n v="-7.2629455279085292E-2"/>
    <n v="145.5"/>
    <n v="152.9"/>
    <n v="-5.3836633663366266E-2"/>
    <n v="135.5"/>
    <n v="144.30000000000001"/>
    <n v="156.9"/>
    <n v="157.9"/>
    <n v="146.9"/>
    <n v="156.9"/>
  </r>
  <r>
    <x v="2"/>
    <x v="7"/>
    <n v="12"/>
    <x v="121"/>
    <n v="146"/>
    <n v="191"/>
    <n v="175.3"/>
    <n v="154.1"/>
    <n v="146.6"/>
    <n v="147.69999999999999"/>
    <n v="230.5"/>
    <n v="160.19999999999999"/>
    <n v="115.3"/>
    <n v="163"/>
    <n v="149.19999999999999"/>
    <n v="164.8"/>
    <n v="165.4"/>
    <n v="-9.5808383233532586E-3"/>
    <n v="185.4"/>
    <n v="155"/>
    <n v="145.4"/>
    <n v="153.6"/>
    <n v="158.4"/>
    <n v="144.6"/>
    <n v="4.8585931834662713E-2"/>
    <n v="149.69999999999999"/>
    <n v="158.30000000000001"/>
    <n v="3.5317200784826717E-2"/>
    <n v="140.69999999999999"/>
    <n v="148.5"/>
    <n v="159.4"/>
    <n v="157.1"/>
    <n v="151.19999999999999"/>
    <n v="158.9"/>
  </r>
  <r>
    <x v="0"/>
    <x v="8"/>
    <n v="12"/>
    <x v="122"/>
    <n v="147.4"/>
    <n v="197"/>
    <n v="176.5"/>
    <n v="159.80000000000001"/>
    <n v="195.8"/>
    <n v="152"/>
    <n v="172.3"/>
    <n v="164.5"/>
    <n v="120.6"/>
    <n v="171.7"/>
    <n v="169.7"/>
    <n v="175.1"/>
    <n v="165.8"/>
    <n v="2.418379685610675E-3"/>
    <n v="190.8"/>
    <n v="171.8"/>
    <n v="167.3"/>
    <n v="171.2"/>
    <s v="NA"/>
    <n v="165.6"/>
    <n v="0.14522821576763487"/>
    <n v="163.9"/>
    <n v="174"/>
    <n v="9.9178774478837578E-2"/>
    <n v="160.1"/>
    <n v="164.5"/>
    <n v="169.7"/>
    <n v="162.80000000000001"/>
    <n v="166"/>
    <n v="167"/>
  </r>
  <r>
    <x v="1"/>
    <x v="8"/>
    <n v="12"/>
    <x v="122"/>
    <n v="151.6"/>
    <n v="202.2"/>
    <n v="180"/>
    <n v="160"/>
    <n v="173.5"/>
    <n v="158.30000000000001"/>
    <n v="219.5"/>
    <n v="164.2"/>
    <n v="121.9"/>
    <n v="168.2"/>
    <n v="156.5"/>
    <n v="178.2"/>
    <n v="172.2"/>
    <n v="3.8600723763570426E-2"/>
    <n v="196.8"/>
    <n v="163.30000000000001"/>
    <n v="146.69999999999999"/>
    <n v="160.69999999999999"/>
    <n v="163.4"/>
    <n v="161.69999999999999"/>
    <n v="-2.3550724637681195E-2"/>
    <n v="156"/>
    <n v="165.1"/>
    <n v="-5.1149425287356352E-2"/>
    <n v="151.80000000000001"/>
    <n v="157.6"/>
    <n v="160.6"/>
    <n v="162.4"/>
    <n v="157.80000000000001"/>
    <n v="165.2"/>
  </r>
  <r>
    <x v="2"/>
    <x v="8"/>
    <n v="12"/>
    <x v="122"/>
    <n v="148.69999999999999"/>
    <n v="198.8"/>
    <n v="177.9"/>
    <n v="159.9"/>
    <n v="187.6"/>
    <n v="154.9"/>
    <n v="188.3"/>
    <n v="164.4"/>
    <n v="121"/>
    <n v="170.5"/>
    <n v="164.2"/>
    <n v="176.5"/>
    <n v="168.2"/>
    <n v="-2.3228803716608595E-2"/>
    <n v="192.4"/>
    <n v="168.5"/>
    <n v="158.69999999999999"/>
    <n v="167"/>
    <n v="163.4"/>
    <n v="164.1"/>
    <n v="1.4842300556586308E-2"/>
    <n v="160.19999999999999"/>
    <n v="170.6"/>
    <n v="3.3313143549364023E-2"/>
    <n v="155.69999999999999"/>
    <n v="160.6"/>
    <n v="164.4"/>
    <n v="162.6"/>
    <n v="162"/>
    <n v="166.2"/>
  </r>
  <r>
    <x v="0"/>
    <x v="9"/>
    <n v="12"/>
    <x v="123"/>
    <n v="168.8"/>
    <n v="206.9"/>
    <n v="189.1"/>
    <n v="173.4"/>
    <n v="193.9"/>
    <n v="156.69999999999999"/>
    <n v="150.19999999999999"/>
    <n v="170.5"/>
    <n v="121.2"/>
    <n v="207.5"/>
    <n v="176.8"/>
    <n v="187.7"/>
    <n v="174.4"/>
    <n v="3.686087990487525E-2"/>
    <n v="195.9"/>
    <n v="188.1"/>
    <n v="185.9"/>
    <n v="187.8"/>
    <s v="NA"/>
    <n v="182.8"/>
    <n v="0.11395490554539925"/>
    <n v="176.4"/>
    <n v="183.5"/>
    <n v="7.5615474794841778E-2"/>
    <n v="167.8"/>
    <n v="171.2"/>
    <n v="177.3"/>
    <n v="175.7"/>
    <n v="175.5"/>
    <n v="177.1"/>
  </r>
  <r>
    <x v="1"/>
    <x v="9"/>
    <n v="12"/>
    <x v="123"/>
    <n v="170.2"/>
    <n v="212.9"/>
    <n v="191.9"/>
    <n v="173.9"/>
    <n v="179.1"/>
    <n v="159.5"/>
    <n v="178.7"/>
    <n v="171.3"/>
    <n v="123.1"/>
    <n v="200.5"/>
    <n v="162.80000000000001"/>
    <n v="193.3"/>
    <n v="178.6"/>
    <n v="2.4082568807339385E-2"/>
    <n v="201.1"/>
    <n v="177.7"/>
    <n v="164.5"/>
    <n v="175.7"/>
    <n v="170.7"/>
    <n v="180.6"/>
    <n v="-1.203501094091913E-2"/>
    <n v="167.3"/>
    <n v="177.2"/>
    <n v="-3.4332425068119954E-2"/>
    <n v="159.4"/>
    <n v="167.1"/>
    <n v="171.8"/>
    <n v="176"/>
    <n v="168.2"/>
    <n v="174.1"/>
  </r>
  <r>
    <x v="2"/>
    <x v="9"/>
    <n v="12"/>
    <x v="123"/>
    <n v="169.2"/>
    <n v="209"/>
    <n v="190.2"/>
    <n v="173.6"/>
    <n v="188.5"/>
    <n v="158"/>
    <n v="159.9"/>
    <n v="170.8"/>
    <n v="121.8"/>
    <n v="205.2"/>
    <n v="171"/>
    <n v="190.3"/>
    <n v="175.9"/>
    <n v="-1.5117581187010015E-2"/>
    <n v="197.3"/>
    <n v="184"/>
    <n v="177"/>
    <n v="183"/>
    <n v="170.7"/>
    <n v="182"/>
    <n v="7.751937984496156E-3"/>
    <n v="172.1"/>
    <n v="181.1"/>
    <n v="2.2009029345372494E-2"/>
    <n v="163.4"/>
    <n v="168.9"/>
    <n v="174.1"/>
    <n v="175.8"/>
    <n v="172"/>
    <n v="175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F3A784-4CC2-4822-8754-0A38AA6EFF05}" name="PivotTable4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37">
    <pivotField axis="axisPage" showAll="0">
      <items count="4">
        <item x="0"/>
        <item x="2"/>
        <item x="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numFmtId="164" showAll="0">
      <items count="125">
        <item x="0"/>
        <item x="11"/>
        <item x="22"/>
        <item x="33"/>
        <item x="43"/>
        <item x="54"/>
        <item x="64"/>
        <item x="74"/>
        <item x="84"/>
        <item x="94"/>
        <item x="104"/>
        <item x="114"/>
        <item x="1"/>
        <item x="12"/>
        <item x="23"/>
        <item x="34"/>
        <item x="44"/>
        <item x="55"/>
        <item x="65"/>
        <item x="75"/>
        <item x="85"/>
        <item x="95"/>
        <item x="105"/>
        <item x="115"/>
        <item x="2"/>
        <item x="13"/>
        <item x="24"/>
        <item x="35"/>
        <item x="45"/>
        <item x="56"/>
        <item x="66"/>
        <item x="76"/>
        <item x="86"/>
        <item x="96"/>
        <item x="106"/>
        <item x="116"/>
        <item x="3"/>
        <item x="14"/>
        <item x="25"/>
        <item x="36"/>
        <item x="46"/>
        <item x="57"/>
        <item x="67"/>
        <item x="77"/>
        <item x="87"/>
        <item x="97"/>
        <item x="107"/>
        <item x="117"/>
        <item x="4"/>
        <item x="15"/>
        <item x="26"/>
        <item x="37"/>
        <item x="47"/>
        <item x="58"/>
        <item x="68"/>
        <item x="78"/>
        <item x="88"/>
        <item x="98"/>
        <item x="108"/>
        <item x="118"/>
        <item x="5"/>
        <item x="16"/>
        <item x="27"/>
        <item x="38"/>
        <item x="48"/>
        <item x="59"/>
        <item x="69"/>
        <item x="79"/>
        <item x="89"/>
        <item x="99"/>
        <item x="109"/>
        <item x="119"/>
        <item x="6"/>
        <item x="17"/>
        <item x="28"/>
        <item x="49"/>
        <item x="60"/>
        <item x="70"/>
        <item x="80"/>
        <item x="90"/>
        <item x="100"/>
        <item x="110"/>
        <item x="120"/>
        <item x="7"/>
        <item x="18"/>
        <item x="29"/>
        <item x="39"/>
        <item x="50"/>
        <item x="61"/>
        <item x="71"/>
        <item x="81"/>
        <item x="91"/>
        <item x="101"/>
        <item x="111"/>
        <item x="121"/>
        <item x="8"/>
        <item x="19"/>
        <item x="30"/>
        <item x="40"/>
        <item x="51"/>
        <item x="62"/>
        <item x="72"/>
        <item x="82"/>
        <item x="92"/>
        <item x="102"/>
        <item x="112"/>
        <item x="122"/>
        <item x="9"/>
        <item x="20"/>
        <item x="31"/>
        <item x="41"/>
        <item x="52"/>
        <item x="63"/>
        <item x="73"/>
        <item x="83"/>
        <item x="93"/>
        <item x="103"/>
        <item x="113"/>
        <item x="123"/>
        <item x="10"/>
        <item x="21"/>
        <item x="32"/>
        <item x="42"/>
        <item x="5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item="0" hier="-1"/>
  </pageFields>
  <dataFields count="1">
    <dataField name="Average of Vegetables" fld="10" subtotal="average" baseField="1" baseItem="2"/>
  </dataFields>
  <formats count="1">
    <format dxfId="1">
      <pivotArea collapsedLevelsAreSubtotals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12A412-DC4F-4107-942D-D4928150D54D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37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>
      <items count="125">
        <item x="0"/>
        <item x="11"/>
        <item x="22"/>
        <item x="33"/>
        <item x="43"/>
        <item x="54"/>
        <item x="64"/>
        <item x="74"/>
        <item x="84"/>
        <item x="94"/>
        <item x="104"/>
        <item x="114"/>
        <item x="1"/>
        <item x="12"/>
        <item x="23"/>
        <item x="34"/>
        <item x="44"/>
        <item x="55"/>
        <item x="65"/>
        <item x="75"/>
        <item x="85"/>
        <item x="95"/>
        <item x="105"/>
        <item x="115"/>
        <item x="2"/>
        <item x="13"/>
        <item x="24"/>
        <item x="35"/>
        <item x="45"/>
        <item x="56"/>
        <item x="66"/>
        <item x="76"/>
        <item x="86"/>
        <item x="96"/>
        <item x="106"/>
        <item x="116"/>
        <item x="3"/>
        <item x="14"/>
        <item x="25"/>
        <item x="36"/>
        <item x="46"/>
        <item x="57"/>
        <item x="67"/>
        <item x="77"/>
        <item x="87"/>
        <item x="97"/>
        <item x="107"/>
        <item x="117"/>
        <item x="4"/>
        <item x="15"/>
        <item x="26"/>
        <item x="37"/>
        <item x="47"/>
        <item x="58"/>
        <item x="68"/>
        <item x="78"/>
        <item x="88"/>
        <item x="98"/>
        <item x="108"/>
        <item x="118"/>
        <item x="5"/>
        <item x="16"/>
        <item x="27"/>
        <item x="38"/>
        <item x="48"/>
        <item x="59"/>
        <item x="69"/>
        <item x="79"/>
        <item x="89"/>
        <item x="99"/>
        <item x="109"/>
        <item x="119"/>
        <item x="6"/>
        <item x="17"/>
        <item x="28"/>
        <item x="49"/>
        <item x="60"/>
        <item x="70"/>
        <item x="80"/>
        <item x="90"/>
        <item x="100"/>
        <item x="110"/>
        <item x="120"/>
        <item x="7"/>
        <item x="18"/>
        <item x="29"/>
        <item x="39"/>
        <item x="50"/>
        <item x="61"/>
        <item x="71"/>
        <item x="81"/>
        <item x="91"/>
        <item x="101"/>
        <item x="111"/>
        <item x="121"/>
        <item x="8"/>
        <item x="19"/>
        <item x="30"/>
        <item x="40"/>
        <item x="51"/>
        <item x="62"/>
        <item x="72"/>
        <item x="82"/>
        <item x="92"/>
        <item x="102"/>
        <item x="112"/>
        <item x="122"/>
        <item x="9"/>
        <item x="20"/>
        <item x="31"/>
        <item x="41"/>
        <item x="52"/>
        <item x="63"/>
        <item x="73"/>
        <item x="83"/>
        <item x="93"/>
        <item x="103"/>
        <item x="113"/>
        <item x="123"/>
        <item x="10"/>
        <item x="21"/>
        <item x="32"/>
        <item x="42"/>
        <item x="5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General index" fld="33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CA3376-2B89-4C60-AD6C-6F75A844377E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7" firstHeaderRow="1" firstDataRow="1" firstDataCol="1"/>
  <pivotFields count="37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>
      <items count="125">
        <item x="0"/>
        <item x="11"/>
        <item x="22"/>
        <item x="33"/>
        <item x="43"/>
        <item x="54"/>
        <item x="64"/>
        <item x="74"/>
        <item x="84"/>
        <item x="94"/>
        <item x="104"/>
        <item x="114"/>
        <item x="1"/>
        <item x="12"/>
        <item x="23"/>
        <item x="34"/>
        <item x="44"/>
        <item x="55"/>
        <item x="65"/>
        <item x="75"/>
        <item x="85"/>
        <item x="95"/>
        <item x="105"/>
        <item x="115"/>
        <item x="2"/>
        <item x="13"/>
        <item x="24"/>
        <item x="35"/>
        <item x="45"/>
        <item x="56"/>
        <item x="66"/>
        <item x="76"/>
        <item x="86"/>
        <item x="96"/>
        <item x="106"/>
        <item x="116"/>
        <item x="3"/>
        <item x="14"/>
        <item x="25"/>
        <item x="36"/>
        <item x="46"/>
        <item x="57"/>
        <item x="67"/>
        <item x="77"/>
        <item x="87"/>
        <item x="97"/>
        <item x="107"/>
        <item x="117"/>
        <item x="4"/>
        <item x="15"/>
        <item x="26"/>
        <item x="37"/>
        <item x="47"/>
        <item x="58"/>
        <item x="68"/>
        <item x="78"/>
        <item x="88"/>
        <item x="98"/>
        <item x="108"/>
        <item x="118"/>
        <item x="5"/>
        <item x="16"/>
        <item x="27"/>
        <item x="38"/>
        <item x="48"/>
        <item x="59"/>
        <item x="69"/>
        <item x="79"/>
        <item x="89"/>
        <item x="99"/>
        <item x="109"/>
        <item x="119"/>
        <item x="6"/>
        <item x="17"/>
        <item x="28"/>
        <item x="49"/>
        <item x="60"/>
        <item x="70"/>
        <item x="80"/>
        <item x="90"/>
        <item x="100"/>
        <item x="110"/>
        <item x="120"/>
        <item x="7"/>
        <item x="18"/>
        <item x="29"/>
        <item x="39"/>
        <item x="50"/>
        <item x="61"/>
        <item x="71"/>
        <item x="81"/>
        <item x="91"/>
        <item x="101"/>
        <item x="111"/>
        <item x="121"/>
        <item x="8"/>
        <item x="19"/>
        <item x="30"/>
        <item x="40"/>
        <item x="51"/>
        <item x="62"/>
        <item x="72"/>
        <item x="82"/>
        <item x="92"/>
        <item x="102"/>
        <item x="112"/>
        <item x="122"/>
        <item x="9"/>
        <item x="20"/>
        <item x="31"/>
        <item x="41"/>
        <item x="52"/>
        <item x="63"/>
        <item x="73"/>
        <item x="83"/>
        <item x="93"/>
        <item x="103"/>
        <item x="113"/>
        <item x="123"/>
        <item x="10"/>
        <item x="21"/>
        <item x="32"/>
        <item x="42"/>
        <item x="5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General index" fld="3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18BBC5-8877-4B62-A12D-C330B64B1EB5}" name="PivotTable1" cacheId="2" dataOnRows="1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outline="1" outlineData="1" multipleFieldFilters="0" chartFormat="9">
  <location ref="A4:D8" firstHeaderRow="1" firstDataRow="2" firstDataCol="1" rowPageCount="1" colPageCount="1"/>
  <pivotFields count="37">
    <pivotField axis="axisCol" showAll="0">
      <items count="4">
        <item x="0"/>
        <item x="2"/>
        <item x="1"/>
        <item t="default"/>
      </items>
    </pivotField>
    <pivotField axis="axisPage" multipleItemSelectionAllowed="1" showAll="0">
      <items count="5">
        <item x="0"/>
        <item x="1"/>
        <item x="2"/>
        <item x="3"/>
        <item t="default"/>
      </items>
    </pivotField>
    <pivotField showAll="0"/>
    <pivotField showAll="0">
      <items count="125">
        <item x="0"/>
        <item x="11"/>
        <item x="22"/>
        <item x="33"/>
        <item x="43"/>
        <item x="54"/>
        <item x="64"/>
        <item x="74"/>
        <item x="84"/>
        <item x="94"/>
        <item x="104"/>
        <item x="114"/>
        <item x="1"/>
        <item x="12"/>
        <item x="23"/>
        <item x="34"/>
        <item x="44"/>
        <item x="55"/>
        <item x="65"/>
        <item x="75"/>
        <item x="85"/>
        <item x="95"/>
        <item x="105"/>
        <item x="115"/>
        <item x="2"/>
        <item x="13"/>
        <item x="24"/>
        <item x="35"/>
        <item x="45"/>
        <item x="56"/>
        <item x="66"/>
        <item x="76"/>
        <item x="86"/>
        <item x="96"/>
        <item x="106"/>
        <item x="116"/>
        <item x="3"/>
        <item x="14"/>
        <item x="25"/>
        <item x="36"/>
        <item x="46"/>
        <item x="57"/>
        <item x="67"/>
        <item x="77"/>
        <item x="87"/>
        <item x="97"/>
        <item x="107"/>
        <item x="117"/>
        <item x="4"/>
        <item x="15"/>
        <item x="26"/>
        <item x="37"/>
        <item x="47"/>
        <item x="58"/>
        <item x="68"/>
        <item x="78"/>
        <item x="88"/>
        <item x="98"/>
        <item x="108"/>
        <item x="118"/>
        <item x="5"/>
        <item x="16"/>
        <item x="27"/>
        <item x="38"/>
        <item x="48"/>
        <item x="59"/>
        <item x="69"/>
        <item x="79"/>
        <item x="89"/>
        <item x="99"/>
        <item x="109"/>
        <item x="119"/>
        <item x="6"/>
        <item x="17"/>
        <item x="28"/>
        <item x="49"/>
        <item x="60"/>
        <item x="70"/>
        <item x="80"/>
        <item x="90"/>
        <item x="100"/>
        <item x="110"/>
        <item x="120"/>
        <item x="7"/>
        <item x="18"/>
        <item x="29"/>
        <item x="39"/>
        <item x="50"/>
        <item x="61"/>
        <item x="71"/>
        <item x="81"/>
        <item x="91"/>
        <item x="101"/>
        <item x="111"/>
        <item x="121"/>
        <item x="8"/>
        <item x="19"/>
        <item x="30"/>
        <item x="40"/>
        <item x="51"/>
        <item x="62"/>
        <item x="72"/>
        <item x="82"/>
        <item x="92"/>
        <item x="102"/>
        <item x="112"/>
        <item x="122"/>
        <item x="9"/>
        <item x="20"/>
        <item x="31"/>
        <item x="41"/>
        <item x="52"/>
        <item x="63"/>
        <item x="73"/>
        <item x="83"/>
        <item x="93"/>
        <item x="103"/>
        <item x="113"/>
        <item x="123"/>
        <item x="10"/>
        <item x="21"/>
        <item x="32"/>
        <item x="42"/>
        <item x="5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-2"/>
  </rowFields>
  <rowItems count="3">
    <i>
      <x/>
    </i>
    <i i="1">
      <x v="1"/>
    </i>
    <i i="2">
      <x v="2"/>
    </i>
  </rowItems>
  <colFields count="1">
    <field x="0"/>
  </colFields>
  <colItems count="3">
    <i>
      <x/>
    </i>
    <i>
      <x v="1"/>
    </i>
    <i>
      <x v="2"/>
    </i>
  </colItems>
  <pageFields count="1">
    <pageField fld="1" hier="-1"/>
  </pageFields>
  <dataFields count="3">
    <dataField name="Average of Food and beverages" fld="16" subtotal="average" baseField="1" baseItem="0"/>
    <dataField name="Average of Health" fld="26" subtotal="average" baseField="1" baseItem="0"/>
    <dataField name="Average of Fuel and light" fld="23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E10A77-DF77-444B-89C6-2CBDA05940F5}" name="PivotTable2" cacheId="2" dataOnRows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A18:D22" firstHeaderRow="1" firstDataRow="2" firstDataCol="1" rowPageCount="1" colPageCount="1"/>
  <pivotFields count="37">
    <pivotField axis="axisPage" showAll="0">
      <items count="4">
        <item x="0"/>
        <item x="2"/>
        <item x="1"/>
        <item t="default"/>
      </items>
    </pivotField>
    <pivotField axis="axisCol" multipleItemSelectionAllowed="1" showAll="0">
      <items count="5">
        <item x="0"/>
        <item x="1"/>
        <item x="2"/>
        <item x="3"/>
        <item t="default"/>
      </items>
    </pivotField>
    <pivotField showAll="0"/>
    <pivotField showAll="0" sortType="ascending">
      <items count="125">
        <item x="0"/>
        <item x="11"/>
        <item x="22"/>
        <item x="33"/>
        <item x="43"/>
        <item x="54"/>
        <item x="64"/>
        <item x="74"/>
        <item x="84"/>
        <item x="94"/>
        <item x="104"/>
        <item x="114"/>
        <item x="1"/>
        <item x="12"/>
        <item x="23"/>
        <item x="34"/>
        <item x="44"/>
        <item x="55"/>
        <item x="65"/>
        <item x="75"/>
        <item x="85"/>
        <item x="95"/>
        <item x="105"/>
        <item x="115"/>
        <item x="2"/>
        <item x="13"/>
        <item x="24"/>
        <item x="35"/>
        <item x="45"/>
        <item x="56"/>
        <item x="66"/>
        <item x="76"/>
        <item x="86"/>
        <item x="96"/>
        <item x="106"/>
        <item x="116"/>
        <item x="3"/>
        <item x="14"/>
        <item x="25"/>
        <item x="36"/>
        <item x="46"/>
        <item x="57"/>
        <item x="67"/>
        <item x="77"/>
        <item x="87"/>
        <item x="97"/>
        <item x="107"/>
        <item x="117"/>
        <item x="4"/>
        <item x="15"/>
        <item x="26"/>
        <item x="37"/>
        <item x="47"/>
        <item x="58"/>
        <item x="68"/>
        <item x="78"/>
        <item x="88"/>
        <item x="98"/>
        <item x="108"/>
        <item x="118"/>
        <item x="5"/>
        <item x="16"/>
        <item x="27"/>
        <item x="38"/>
        <item x="48"/>
        <item x="59"/>
        <item x="69"/>
        <item x="79"/>
        <item x="89"/>
        <item x="99"/>
        <item x="109"/>
        <item x="119"/>
        <item x="6"/>
        <item x="17"/>
        <item x="28"/>
        <item x="49"/>
        <item x="60"/>
        <item x="70"/>
        <item x="80"/>
        <item x="90"/>
        <item x="100"/>
        <item x="110"/>
        <item x="120"/>
        <item x="7"/>
        <item x="18"/>
        <item x="29"/>
        <item x="39"/>
        <item x="50"/>
        <item x="61"/>
        <item x="71"/>
        <item x="81"/>
        <item x="91"/>
        <item x="101"/>
        <item x="111"/>
        <item x="121"/>
        <item x="8"/>
        <item x="19"/>
        <item x="30"/>
        <item x="40"/>
        <item x="51"/>
        <item x="62"/>
        <item x="72"/>
        <item x="82"/>
        <item x="92"/>
        <item x="102"/>
        <item x="112"/>
        <item x="122"/>
        <item x="9"/>
        <item x="20"/>
        <item x="31"/>
        <item x="41"/>
        <item x="52"/>
        <item x="63"/>
        <item x="73"/>
        <item x="83"/>
        <item x="93"/>
        <item x="103"/>
        <item x="113"/>
        <item x="123"/>
        <item x="10"/>
        <item x="21"/>
        <item x="32"/>
        <item x="42"/>
        <item x="5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15">
        <item x="0"/>
        <item sd="0"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-2"/>
  </rowFields>
  <rowItems count="3">
    <i>
      <x/>
    </i>
    <i i="1">
      <x v="1"/>
    </i>
    <i i="2">
      <x v="2"/>
    </i>
  </rowItems>
  <colFields count="1">
    <field x="1"/>
  </colFields>
  <colItems count="3">
    <i>
      <x/>
    </i>
    <i>
      <x v="1"/>
    </i>
    <i>
      <x v="2"/>
    </i>
  </colItems>
  <pageFields count="1">
    <pageField fld="0" item="1" hier="-1"/>
  </pageFields>
  <dataFields count="3">
    <dataField name="Food" fld="16" subtotal="average" baseField="1" baseItem="2"/>
    <dataField name="Fuel &amp; Light" fld="23" subtotal="average" baseField="1" baseItem="2"/>
    <dataField name="Health_" fld="26" subtotal="average" baseField="1" baseItem="2"/>
  </dataFields>
  <formats count="1">
    <format dxfId="0">
      <pivotArea outline="0" collapsedLevelsAreSubtotals="1" fieldPosition="0"/>
    </format>
  </formats>
  <chartFormats count="3">
    <chartFormat chart="0" format="11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17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17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B2A24-D378-47D8-87BD-B1020BECA582}">
  <dimension ref="A1:M21"/>
  <sheetViews>
    <sheetView workbookViewId="0">
      <selection activeCell="J16" sqref="J16"/>
    </sheetView>
  </sheetViews>
  <sheetFormatPr defaultRowHeight="15" x14ac:dyDescent="0.25"/>
  <cols>
    <col min="1" max="1" width="13.42578125" bestFit="1" customWidth="1"/>
    <col min="2" max="2" width="21.140625" bestFit="1" customWidth="1"/>
    <col min="7" max="7" width="13.42578125" bestFit="1" customWidth="1"/>
  </cols>
  <sheetData>
    <row r="1" spans="1:13" x14ac:dyDescent="0.25">
      <c r="A1" s="2" t="s">
        <v>0</v>
      </c>
      <c r="B1" t="s">
        <v>30</v>
      </c>
    </row>
    <row r="2" spans="1:13" x14ac:dyDescent="0.25">
      <c r="G2" t="s">
        <v>108</v>
      </c>
      <c r="H2" t="s">
        <v>113</v>
      </c>
      <c r="I2" t="s">
        <v>114</v>
      </c>
      <c r="J2" t="s">
        <v>115</v>
      </c>
      <c r="K2" t="s">
        <v>116</v>
      </c>
      <c r="L2" t="s">
        <v>34</v>
      </c>
    </row>
    <row r="3" spans="1:13" x14ac:dyDescent="0.25">
      <c r="A3" s="2" t="s">
        <v>37</v>
      </c>
      <c r="B3" t="s">
        <v>106</v>
      </c>
      <c r="G3" t="s">
        <v>109</v>
      </c>
      <c r="H3">
        <v>189</v>
      </c>
      <c r="I3">
        <v>116</v>
      </c>
      <c r="J3">
        <v>101</v>
      </c>
      <c r="K3">
        <v>168</v>
      </c>
      <c r="L3">
        <v>177</v>
      </c>
    </row>
    <row r="4" spans="1:13" x14ac:dyDescent="0.25">
      <c r="A4" s="3" t="s">
        <v>123</v>
      </c>
      <c r="B4" s="15">
        <v>135.7138888888889</v>
      </c>
      <c r="G4" t="s">
        <v>110</v>
      </c>
      <c r="H4">
        <v>104</v>
      </c>
      <c r="I4">
        <v>192</v>
      </c>
      <c r="J4">
        <v>107</v>
      </c>
      <c r="K4">
        <v>155</v>
      </c>
      <c r="L4">
        <v>141</v>
      </c>
    </row>
    <row r="5" spans="1:13" x14ac:dyDescent="0.25">
      <c r="A5" s="3" t="s">
        <v>124</v>
      </c>
      <c r="B5" s="15">
        <v>145.81702127659577</v>
      </c>
      <c r="G5" t="s">
        <v>111</v>
      </c>
      <c r="H5">
        <v>186</v>
      </c>
      <c r="I5">
        <v>166</v>
      </c>
      <c r="J5">
        <v>174</v>
      </c>
      <c r="K5">
        <v>181</v>
      </c>
      <c r="L5">
        <v>152</v>
      </c>
    </row>
    <row r="6" spans="1:13" x14ac:dyDescent="0.25">
      <c r="A6" s="3" t="s">
        <v>125</v>
      </c>
      <c r="B6" s="15">
        <v>163.64390243902437</v>
      </c>
      <c r="G6" t="s">
        <v>112</v>
      </c>
      <c r="H6">
        <v>136</v>
      </c>
      <c r="I6">
        <v>149</v>
      </c>
      <c r="J6">
        <v>147</v>
      </c>
      <c r="K6">
        <v>148</v>
      </c>
      <c r="L6">
        <v>189</v>
      </c>
    </row>
    <row r="7" spans="1:13" x14ac:dyDescent="0.25">
      <c r="A7" s="3" t="s">
        <v>38</v>
      </c>
      <c r="B7" s="4">
        <v>148.77822580645167</v>
      </c>
    </row>
    <row r="10" spans="1:13" x14ac:dyDescent="0.25">
      <c r="M10" cm="1">
        <f t="array" ref="M10">_xlfn.XLOOKUP(H14,G3:G6,_xlfn.XLOOKUP(I14,H2:L2,H3:L6),,0)</f>
        <v>166</v>
      </c>
    </row>
    <row r="14" spans="1:13" x14ac:dyDescent="0.25">
      <c r="H14" t="s">
        <v>111</v>
      </c>
      <c r="I14" t="s">
        <v>114</v>
      </c>
    </row>
    <row r="16" spans="1:13" x14ac:dyDescent="0.25">
      <c r="H16" t="s">
        <v>117</v>
      </c>
      <c r="J16">
        <f>INDEX(H3:L6,MATCH(H14,G3:G6,0),MATCH(I14,H2:L2,0))</f>
        <v>166</v>
      </c>
      <c r="K16">
        <f>INDEX(H3:L6,MATCH(H14,G3:G6,0),MATCH(I14,H2:L2,0))</f>
        <v>166</v>
      </c>
    </row>
    <row r="19" spans="7:9" x14ac:dyDescent="0.25">
      <c r="G19" t="s">
        <v>118</v>
      </c>
    </row>
    <row r="20" spans="7:9" x14ac:dyDescent="0.25">
      <c r="G20" t="s">
        <v>119</v>
      </c>
      <c r="H20" t="str">
        <f>LEFT(G20,FIND(" ",G20))</f>
        <v xml:space="preserve">Ayush </v>
      </c>
      <c r="I20" t="str">
        <f>RIGHT(G20,LEN(G20)-FIND(" ",G20))</f>
        <v>Jain</v>
      </c>
    </row>
    <row r="21" spans="7:9" x14ac:dyDescent="0.25">
      <c r="G21" t="s">
        <v>120</v>
      </c>
      <c r="H21" t="str">
        <f>LEFT(G21,FIND(" ",G21))</f>
        <v xml:space="preserve">Jai </v>
      </c>
      <c r="I21" t="str">
        <f>RIGHT(G21,LEN(G21)-FIND(" ",G21))</f>
        <v>kumar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25F5D-EF68-4E8D-9AAE-C82CBEB329C7}">
  <dimension ref="A1:AJ373"/>
  <sheetViews>
    <sheetView workbookViewId="0">
      <selection activeCell="E9" sqref="A1:AJ373"/>
    </sheetView>
  </sheetViews>
  <sheetFormatPr defaultRowHeight="15" x14ac:dyDescent="0.25"/>
  <cols>
    <col min="1" max="1" width="13" customWidth="1"/>
    <col min="2" max="2" width="15.28515625" customWidth="1"/>
    <col min="3" max="4" width="17.5703125" customWidth="1"/>
    <col min="5" max="5" width="20" customWidth="1"/>
    <col min="6" max="6" width="12.85546875" customWidth="1"/>
    <col min="7" max="7" width="6.42578125" customWidth="1"/>
    <col min="8" max="8" width="17" customWidth="1"/>
    <col min="9" max="9" width="12.140625" customWidth="1"/>
    <col min="10" max="10" width="6" customWidth="1"/>
    <col min="11" max="11" width="10.5703125" customWidth="1"/>
    <col min="12" max="12" width="19.28515625" customWidth="1"/>
    <col min="13" max="13" width="22.7109375" customWidth="1"/>
    <col min="14" max="14" width="6.7109375" customWidth="1"/>
    <col min="15" max="15" width="23.42578125" customWidth="1"/>
    <col min="16" max="16" width="33.42578125" customWidth="1"/>
    <col min="17" max="18" width="18.85546875" customWidth="1"/>
    <col min="19" max="19" width="27.140625" customWidth="1"/>
    <col min="20" max="20" width="8.28515625" customWidth="1"/>
    <col min="21" max="21" width="9.140625" customWidth="1"/>
    <col min="22" max="22" width="20.5703125" customWidth="1"/>
    <col min="23" max="23" width="8.28515625" customWidth="1"/>
    <col min="24" max="24" width="12.85546875" bestFit="1" customWidth="1"/>
    <col min="25" max="25" width="12.85546875" customWidth="1"/>
    <col min="26" max="26" width="28.42578125" customWidth="1"/>
    <col min="27" max="27" width="7" customWidth="1"/>
    <col min="28" max="28" width="19" customWidth="1"/>
    <col min="29" max="29" width="28.42578125" bestFit="1" customWidth="1"/>
    <col min="30" max="30" width="25.7109375" customWidth="1"/>
    <col min="31" max="31" width="9.85546875" customWidth="1"/>
    <col min="32" max="32" width="23.5703125" customWidth="1"/>
    <col min="33" max="33" width="14" customWidth="1"/>
    <col min="34" max="34" width="13.140625" bestFit="1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53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54</v>
      </c>
      <c r="Z1" s="1" t="s">
        <v>22</v>
      </c>
      <c r="AA1" s="1" t="s">
        <v>23</v>
      </c>
      <c r="AB1" s="1" t="s">
        <v>55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</row>
    <row r="2" spans="1:36" x14ac:dyDescent="0.25">
      <c r="A2" t="s">
        <v>30</v>
      </c>
      <c r="B2">
        <v>2013</v>
      </c>
      <c r="C2">
        <v>1</v>
      </c>
      <c r="D2" s="13">
        <f>DATE(B2,C2,1)</f>
        <v>41275</v>
      </c>
      <c r="E2">
        <v>107.5</v>
      </c>
      <c r="F2">
        <v>106.3</v>
      </c>
      <c r="G2">
        <v>108.1</v>
      </c>
      <c r="H2">
        <v>104.9</v>
      </c>
      <c r="I2">
        <v>106.1</v>
      </c>
      <c r="J2">
        <v>103.9</v>
      </c>
      <c r="K2">
        <v>101.9</v>
      </c>
      <c r="L2">
        <v>106.1</v>
      </c>
      <c r="M2">
        <v>106.8</v>
      </c>
      <c r="N2">
        <v>103.1</v>
      </c>
      <c r="O2">
        <v>104.8</v>
      </c>
      <c r="P2">
        <v>106.7</v>
      </c>
      <c r="Q2">
        <v>105.5</v>
      </c>
      <c r="R2" s="6">
        <v>0</v>
      </c>
      <c r="S2">
        <v>105.1</v>
      </c>
      <c r="T2">
        <v>106.5</v>
      </c>
      <c r="U2">
        <v>105.8</v>
      </c>
      <c r="V2">
        <v>106.4</v>
      </c>
      <c r="W2" t="s">
        <v>31</v>
      </c>
      <c r="X2">
        <v>105.5</v>
      </c>
      <c r="Y2">
        <v>0</v>
      </c>
      <c r="Z2">
        <v>104.8</v>
      </c>
      <c r="AA2">
        <v>104</v>
      </c>
      <c r="AB2">
        <v>0</v>
      </c>
      <c r="AC2">
        <v>103.3</v>
      </c>
      <c r="AD2">
        <v>103.4</v>
      </c>
      <c r="AE2">
        <v>103.8</v>
      </c>
      <c r="AF2">
        <v>104.7</v>
      </c>
      <c r="AG2">
        <v>104</v>
      </c>
      <c r="AH2">
        <v>105.1</v>
      </c>
    </row>
    <row r="3" spans="1:36" x14ac:dyDescent="0.25">
      <c r="A3" t="s">
        <v>32</v>
      </c>
      <c r="B3">
        <v>2013</v>
      </c>
      <c r="C3">
        <v>1</v>
      </c>
      <c r="D3" s="13">
        <f t="shared" ref="D3:D66" si="0">DATE(B3,C3,1)</f>
        <v>41275</v>
      </c>
      <c r="E3">
        <v>110.5</v>
      </c>
      <c r="F3">
        <v>109.1</v>
      </c>
      <c r="G3">
        <v>113</v>
      </c>
      <c r="H3">
        <v>103.6</v>
      </c>
      <c r="I3">
        <v>103.4</v>
      </c>
      <c r="J3">
        <v>102.3</v>
      </c>
      <c r="K3">
        <v>102.9</v>
      </c>
      <c r="L3">
        <v>105.8</v>
      </c>
      <c r="M3">
        <v>105.1</v>
      </c>
      <c r="N3">
        <v>101.8</v>
      </c>
      <c r="O3">
        <v>105.1</v>
      </c>
      <c r="P3">
        <v>107.9</v>
      </c>
      <c r="Q3">
        <v>105.9</v>
      </c>
      <c r="R3" s="12">
        <f t="shared" ref="R3:R66" si="1">(Q3-Q2)/Q2</f>
        <v>3.7914691943128501E-3</v>
      </c>
      <c r="S3">
        <v>105.2</v>
      </c>
      <c r="T3">
        <v>105.9</v>
      </c>
      <c r="U3">
        <v>105</v>
      </c>
      <c r="V3">
        <v>105.8</v>
      </c>
      <c r="W3">
        <v>100.3</v>
      </c>
      <c r="X3">
        <v>105.4</v>
      </c>
      <c r="Y3" s="12">
        <f t="shared" ref="Y3:Y66" si="2">(X3-X2)/X2</f>
        <v>-9.478672985781452E-4</v>
      </c>
      <c r="Z3">
        <v>104.8</v>
      </c>
      <c r="AA3">
        <v>104.1</v>
      </c>
      <c r="AB3" s="12">
        <f t="shared" ref="AB3:AB66" si="3">(AA3-AA2)/AA2</f>
        <v>9.6153846153840684E-4</v>
      </c>
      <c r="AC3">
        <v>103.2</v>
      </c>
      <c r="AD3">
        <v>102.9</v>
      </c>
      <c r="AE3">
        <v>103.5</v>
      </c>
      <c r="AF3">
        <v>104.3</v>
      </c>
      <c r="AG3">
        <v>103.7</v>
      </c>
      <c r="AH3">
        <v>104</v>
      </c>
      <c r="AI3" s="11">
        <f>(AH3-AH2)/AH2</f>
        <v>-1.0466222645099851E-2</v>
      </c>
      <c r="AJ3" s="18">
        <f>AVERAGE(AI3:AI373)</f>
        <v>4.8211391022267612E-3</v>
      </c>
    </row>
    <row r="4" spans="1:36" x14ac:dyDescent="0.25">
      <c r="A4" t="s">
        <v>33</v>
      </c>
      <c r="B4">
        <v>2013</v>
      </c>
      <c r="C4">
        <v>1</v>
      </c>
      <c r="D4" s="13">
        <f t="shared" si="0"/>
        <v>41275</v>
      </c>
      <c r="E4">
        <v>108.4</v>
      </c>
      <c r="F4">
        <v>107.3</v>
      </c>
      <c r="G4">
        <v>110</v>
      </c>
      <c r="H4">
        <v>104.4</v>
      </c>
      <c r="I4">
        <v>105.1</v>
      </c>
      <c r="J4">
        <v>103.2</v>
      </c>
      <c r="K4">
        <v>102.2</v>
      </c>
      <c r="L4">
        <v>106</v>
      </c>
      <c r="M4">
        <v>106.2</v>
      </c>
      <c r="N4">
        <v>102.7</v>
      </c>
      <c r="O4">
        <v>104.9</v>
      </c>
      <c r="P4">
        <v>107.3</v>
      </c>
      <c r="Q4">
        <v>105.6</v>
      </c>
      <c r="R4" s="12">
        <f t="shared" si="1"/>
        <v>-2.832861189801807E-3</v>
      </c>
      <c r="S4">
        <v>105.1</v>
      </c>
      <c r="T4">
        <v>106.3</v>
      </c>
      <c r="U4">
        <v>105.5</v>
      </c>
      <c r="V4">
        <v>106.2</v>
      </c>
      <c r="W4">
        <v>100.3</v>
      </c>
      <c r="X4">
        <v>105.5</v>
      </c>
      <c r="Y4" s="12">
        <f t="shared" si="2"/>
        <v>9.487666034155058E-4</v>
      </c>
      <c r="Z4">
        <v>104.8</v>
      </c>
      <c r="AA4">
        <v>104</v>
      </c>
      <c r="AB4" s="12">
        <f t="shared" si="3"/>
        <v>-9.6061479346776484E-4</v>
      </c>
      <c r="AC4">
        <v>103.2</v>
      </c>
      <c r="AD4">
        <v>103.1</v>
      </c>
      <c r="AE4">
        <v>103.6</v>
      </c>
      <c r="AF4">
        <v>104.5</v>
      </c>
      <c r="AG4">
        <v>103.9</v>
      </c>
      <c r="AH4">
        <v>104.6</v>
      </c>
      <c r="AI4" s="11">
        <f t="shared" ref="AI4:AI67" si="4">(AH4-AH3)/AH3</f>
        <v>5.7692307692307149E-3</v>
      </c>
    </row>
    <row r="5" spans="1:36" x14ac:dyDescent="0.25">
      <c r="A5" t="s">
        <v>30</v>
      </c>
      <c r="B5">
        <v>2014</v>
      </c>
      <c r="C5">
        <v>1</v>
      </c>
      <c r="D5" s="13">
        <f t="shared" si="0"/>
        <v>41640</v>
      </c>
      <c r="E5">
        <v>118.9</v>
      </c>
      <c r="F5">
        <v>117.1</v>
      </c>
      <c r="G5">
        <v>120.5</v>
      </c>
      <c r="H5">
        <v>114.4</v>
      </c>
      <c r="I5">
        <v>109</v>
      </c>
      <c r="J5">
        <v>115.5</v>
      </c>
      <c r="K5">
        <v>123.9</v>
      </c>
      <c r="L5">
        <v>109.6</v>
      </c>
      <c r="M5">
        <v>101.8</v>
      </c>
      <c r="N5">
        <v>110.2</v>
      </c>
      <c r="O5">
        <v>112.4</v>
      </c>
      <c r="P5">
        <v>117.3</v>
      </c>
      <c r="Q5">
        <v>116</v>
      </c>
      <c r="R5" s="12">
        <f t="shared" si="1"/>
        <v>9.848484848484855E-2</v>
      </c>
      <c r="S5">
        <v>114</v>
      </c>
      <c r="T5">
        <v>116.5</v>
      </c>
      <c r="U5">
        <v>114.5</v>
      </c>
      <c r="V5">
        <v>116.2</v>
      </c>
      <c r="W5" t="s">
        <v>31</v>
      </c>
      <c r="X5">
        <v>113</v>
      </c>
      <c r="Y5" s="12">
        <f t="shared" si="2"/>
        <v>7.1090047393364927E-2</v>
      </c>
      <c r="Z5">
        <v>112.6</v>
      </c>
      <c r="AA5">
        <v>110.6</v>
      </c>
      <c r="AB5" s="12">
        <f t="shared" si="3"/>
        <v>6.3461538461538403E-2</v>
      </c>
      <c r="AC5">
        <v>110.5</v>
      </c>
      <c r="AD5">
        <v>109.6</v>
      </c>
      <c r="AE5">
        <v>111.8</v>
      </c>
      <c r="AF5">
        <v>108.3</v>
      </c>
      <c r="AG5">
        <v>110.6</v>
      </c>
      <c r="AH5">
        <v>114.2</v>
      </c>
      <c r="AI5" s="11">
        <f t="shared" si="4"/>
        <v>9.1778202676864332E-2</v>
      </c>
    </row>
    <row r="6" spans="1:36" x14ac:dyDescent="0.25">
      <c r="A6" t="s">
        <v>32</v>
      </c>
      <c r="B6">
        <v>2014</v>
      </c>
      <c r="C6">
        <v>1</v>
      </c>
      <c r="D6" s="13">
        <f t="shared" si="0"/>
        <v>41640</v>
      </c>
      <c r="E6">
        <v>121.2</v>
      </c>
      <c r="F6">
        <v>122</v>
      </c>
      <c r="G6">
        <v>129.9</v>
      </c>
      <c r="H6">
        <v>113.6</v>
      </c>
      <c r="I6">
        <v>102.9</v>
      </c>
      <c r="J6">
        <v>112.1</v>
      </c>
      <c r="K6">
        <v>118.9</v>
      </c>
      <c r="L6">
        <v>107.5</v>
      </c>
      <c r="M6">
        <v>96.9</v>
      </c>
      <c r="N6">
        <v>112.7</v>
      </c>
      <c r="O6">
        <v>112.1</v>
      </c>
      <c r="P6">
        <v>119</v>
      </c>
      <c r="Q6">
        <v>115.5</v>
      </c>
      <c r="R6" s="12">
        <f t="shared" si="1"/>
        <v>-4.3103448275862068E-3</v>
      </c>
      <c r="S6">
        <v>115.7</v>
      </c>
      <c r="T6">
        <v>114.8</v>
      </c>
      <c r="U6">
        <v>111.3</v>
      </c>
      <c r="V6">
        <v>114.3</v>
      </c>
      <c r="W6">
        <v>111.6</v>
      </c>
      <c r="X6">
        <v>111</v>
      </c>
      <c r="Y6" s="12">
        <f t="shared" si="2"/>
        <v>-1.7699115044247787E-2</v>
      </c>
      <c r="Z6">
        <v>111.9</v>
      </c>
      <c r="AA6">
        <v>109.7</v>
      </c>
      <c r="AB6" s="12">
        <f t="shared" si="3"/>
        <v>-8.1374321880650236E-3</v>
      </c>
      <c r="AC6">
        <v>110.8</v>
      </c>
      <c r="AD6">
        <v>109.8</v>
      </c>
      <c r="AE6">
        <v>111.5</v>
      </c>
      <c r="AF6">
        <v>108</v>
      </c>
      <c r="AG6">
        <v>110.5</v>
      </c>
      <c r="AH6">
        <v>112.9</v>
      </c>
      <c r="AI6" s="11">
        <f t="shared" si="4"/>
        <v>-1.1383537653239904E-2</v>
      </c>
    </row>
    <row r="7" spans="1:36" x14ac:dyDescent="0.25">
      <c r="A7" t="s">
        <v>33</v>
      </c>
      <c r="B7">
        <v>2014</v>
      </c>
      <c r="C7">
        <v>1</v>
      </c>
      <c r="D7" s="13">
        <f t="shared" si="0"/>
        <v>41640</v>
      </c>
      <c r="E7">
        <v>119.6</v>
      </c>
      <c r="F7">
        <v>118.8</v>
      </c>
      <c r="G7">
        <v>124.1</v>
      </c>
      <c r="H7">
        <v>114.1</v>
      </c>
      <c r="I7">
        <v>106.8</v>
      </c>
      <c r="J7">
        <v>113.9</v>
      </c>
      <c r="K7">
        <v>122.2</v>
      </c>
      <c r="L7">
        <v>108.9</v>
      </c>
      <c r="M7">
        <v>100.2</v>
      </c>
      <c r="N7">
        <v>111</v>
      </c>
      <c r="O7">
        <v>112.3</v>
      </c>
      <c r="P7">
        <v>118.1</v>
      </c>
      <c r="Q7">
        <v>115.8</v>
      </c>
      <c r="R7" s="12">
        <f t="shared" si="1"/>
        <v>2.5974025974025727E-3</v>
      </c>
      <c r="S7">
        <v>114.5</v>
      </c>
      <c r="T7">
        <v>115.8</v>
      </c>
      <c r="U7">
        <v>113.2</v>
      </c>
      <c r="V7">
        <v>115.4</v>
      </c>
      <c r="W7">
        <v>111.6</v>
      </c>
      <c r="X7">
        <v>112.2</v>
      </c>
      <c r="Y7" s="12">
        <f t="shared" si="2"/>
        <v>1.0810810810810836E-2</v>
      </c>
      <c r="Z7">
        <v>112.3</v>
      </c>
      <c r="AA7">
        <v>110.3</v>
      </c>
      <c r="AB7" s="12">
        <f t="shared" si="3"/>
        <v>5.4694621695532755E-3</v>
      </c>
      <c r="AC7">
        <v>110.7</v>
      </c>
      <c r="AD7">
        <v>109.7</v>
      </c>
      <c r="AE7">
        <v>111.6</v>
      </c>
      <c r="AF7">
        <v>108.2</v>
      </c>
      <c r="AG7">
        <v>110.6</v>
      </c>
      <c r="AH7">
        <v>113.6</v>
      </c>
      <c r="AI7" s="11">
        <f t="shared" si="4"/>
        <v>6.2001771479184113E-3</v>
      </c>
    </row>
    <row r="8" spans="1:36" x14ac:dyDescent="0.25">
      <c r="A8" t="s">
        <v>30</v>
      </c>
      <c r="B8">
        <v>2015</v>
      </c>
      <c r="C8">
        <v>1</v>
      </c>
      <c r="D8" s="13">
        <f t="shared" si="0"/>
        <v>42005</v>
      </c>
      <c r="E8">
        <v>123.1</v>
      </c>
      <c r="F8">
        <v>123.1</v>
      </c>
      <c r="G8">
        <v>122.1</v>
      </c>
      <c r="H8">
        <v>124.9</v>
      </c>
      <c r="I8">
        <v>111</v>
      </c>
      <c r="J8">
        <v>130.4</v>
      </c>
      <c r="K8">
        <v>132.30000000000001</v>
      </c>
      <c r="L8">
        <v>117.2</v>
      </c>
      <c r="M8">
        <v>100.5</v>
      </c>
      <c r="N8">
        <v>117.2</v>
      </c>
      <c r="O8">
        <v>117.9</v>
      </c>
      <c r="P8">
        <v>125.6</v>
      </c>
      <c r="Q8">
        <v>122.8</v>
      </c>
      <c r="R8" s="12">
        <f t="shared" si="1"/>
        <v>6.0449050086355788E-2</v>
      </c>
      <c r="S8">
        <v>122.7</v>
      </c>
      <c r="T8">
        <v>124.4</v>
      </c>
      <c r="U8">
        <v>121.6</v>
      </c>
      <c r="V8">
        <v>124</v>
      </c>
      <c r="W8" t="s">
        <v>31</v>
      </c>
      <c r="X8">
        <v>118.4</v>
      </c>
      <c r="Y8" s="12">
        <f t="shared" si="2"/>
        <v>5.5258467023172927E-2</v>
      </c>
      <c r="Z8">
        <v>118.9</v>
      </c>
      <c r="AA8">
        <v>116.6</v>
      </c>
      <c r="AB8" s="12">
        <f t="shared" si="3"/>
        <v>5.7116953762465977E-2</v>
      </c>
      <c r="AC8">
        <v>111</v>
      </c>
      <c r="AD8">
        <v>114</v>
      </c>
      <c r="AE8">
        <v>118.2</v>
      </c>
      <c r="AF8">
        <v>110.2</v>
      </c>
      <c r="AG8">
        <v>114.5</v>
      </c>
      <c r="AH8">
        <v>120.3</v>
      </c>
      <c r="AI8" s="11">
        <f t="shared" si="4"/>
        <v>5.8978873239436645E-2</v>
      </c>
    </row>
    <row r="9" spans="1:36" x14ac:dyDescent="0.25">
      <c r="A9" t="s">
        <v>32</v>
      </c>
      <c r="B9">
        <v>2015</v>
      </c>
      <c r="C9">
        <v>1</v>
      </c>
      <c r="D9" s="13">
        <f t="shared" si="0"/>
        <v>42005</v>
      </c>
      <c r="E9">
        <v>124</v>
      </c>
      <c r="F9">
        <v>125.5</v>
      </c>
      <c r="G9">
        <v>126.6</v>
      </c>
      <c r="H9">
        <v>125.2</v>
      </c>
      <c r="I9">
        <v>104.3</v>
      </c>
      <c r="J9">
        <v>121.3</v>
      </c>
      <c r="K9">
        <v>134.4</v>
      </c>
      <c r="L9">
        <v>122.9</v>
      </c>
      <c r="M9">
        <v>96.1</v>
      </c>
      <c r="N9">
        <v>126.6</v>
      </c>
      <c r="O9">
        <v>116.5</v>
      </c>
      <c r="P9">
        <v>128</v>
      </c>
      <c r="Q9">
        <v>123.5</v>
      </c>
      <c r="R9" s="12">
        <f t="shared" si="1"/>
        <v>5.7003257328990461E-3</v>
      </c>
      <c r="S9">
        <v>127.4</v>
      </c>
      <c r="T9">
        <v>121</v>
      </c>
      <c r="U9">
        <v>116.1</v>
      </c>
      <c r="V9">
        <v>120.2</v>
      </c>
      <c r="W9">
        <v>117.3</v>
      </c>
      <c r="X9">
        <v>113.4</v>
      </c>
      <c r="Y9" s="12">
        <f t="shared" si="2"/>
        <v>-4.2229729729729729E-2</v>
      </c>
      <c r="Z9">
        <v>117.2</v>
      </c>
      <c r="AA9">
        <v>113.7</v>
      </c>
      <c r="AB9" s="12">
        <f t="shared" si="3"/>
        <v>-2.4871355060034232E-2</v>
      </c>
      <c r="AC9">
        <v>107.9</v>
      </c>
      <c r="AD9">
        <v>114.6</v>
      </c>
      <c r="AE9">
        <v>120.8</v>
      </c>
      <c r="AF9">
        <v>111.4</v>
      </c>
      <c r="AG9">
        <v>113.4</v>
      </c>
      <c r="AH9">
        <v>118.5</v>
      </c>
      <c r="AI9" s="11">
        <f t="shared" si="4"/>
        <v>-1.4962593516209453E-2</v>
      </c>
    </row>
    <row r="10" spans="1:36" x14ac:dyDescent="0.25">
      <c r="A10" t="s">
        <v>33</v>
      </c>
      <c r="B10">
        <v>2015</v>
      </c>
      <c r="C10">
        <v>1</v>
      </c>
      <c r="D10" s="13">
        <f t="shared" si="0"/>
        <v>42005</v>
      </c>
      <c r="E10">
        <v>123.4</v>
      </c>
      <c r="F10">
        <v>123.9</v>
      </c>
      <c r="G10">
        <v>123.8</v>
      </c>
      <c r="H10">
        <v>125</v>
      </c>
      <c r="I10">
        <v>108.5</v>
      </c>
      <c r="J10">
        <v>126.2</v>
      </c>
      <c r="K10">
        <v>133</v>
      </c>
      <c r="L10">
        <v>119.1</v>
      </c>
      <c r="M10">
        <v>99</v>
      </c>
      <c r="N10">
        <v>120.3</v>
      </c>
      <c r="O10">
        <v>117.3</v>
      </c>
      <c r="P10">
        <v>126.7</v>
      </c>
      <c r="Q10">
        <v>123.1</v>
      </c>
      <c r="R10" s="12">
        <f t="shared" si="1"/>
        <v>-3.2388663967611794E-3</v>
      </c>
      <c r="S10">
        <v>124</v>
      </c>
      <c r="T10">
        <v>123.1</v>
      </c>
      <c r="U10">
        <v>119.3</v>
      </c>
      <c r="V10">
        <v>122.5</v>
      </c>
      <c r="W10">
        <v>117.3</v>
      </c>
      <c r="X10">
        <v>116.5</v>
      </c>
      <c r="Y10" s="12">
        <f t="shared" si="2"/>
        <v>2.7336860670193953E-2</v>
      </c>
      <c r="Z10">
        <v>118.1</v>
      </c>
      <c r="AA10">
        <v>115.5</v>
      </c>
      <c r="AB10" s="12">
        <f t="shared" si="3"/>
        <v>1.5831134564643773E-2</v>
      </c>
      <c r="AC10">
        <v>109.4</v>
      </c>
      <c r="AD10">
        <v>114.3</v>
      </c>
      <c r="AE10">
        <v>119.7</v>
      </c>
      <c r="AF10">
        <v>110.7</v>
      </c>
      <c r="AG10">
        <v>114</v>
      </c>
      <c r="AH10">
        <v>119.5</v>
      </c>
      <c r="AI10" s="11">
        <f t="shared" si="4"/>
        <v>8.4388185654008432E-3</v>
      </c>
    </row>
    <row r="11" spans="1:36" x14ac:dyDescent="0.25">
      <c r="A11" t="s">
        <v>30</v>
      </c>
      <c r="B11">
        <v>2016</v>
      </c>
      <c r="C11">
        <v>1</v>
      </c>
      <c r="D11" s="13">
        <f t="shared" si="0"/>
        <v>42370</v>
      </c>
      <c r="E11">
        <v>126.8</v>
      </c>
      <c r="F11">
        <v>133.19999999999999</v>
      </c>
      <c r="G11">
        <v>126.5</v>
      </c>
      <c r="H11">
        <v>130.30000000000001</v>
      </c>
      <c r="I11">
        <v>118.9</v>
      </c>
      <c r="J11">
        <v>131.6</v>
      </c>
      <c r="K11">
        <v>140.1</v>
      </c>
      <c r="L11">
        <v>163.80000000000001</v>
      </c>
      <c r="M11">
        <v>97.7</v>
      </c>
      <c r="N11">
        <v>129.6</v>
      </c>
      <c r="O11">
        <v>124.3</v>
      </c>
      <c r="P11">
        <v>135.9</v>
      </c>
      <c r="Q11">
        <v>131.4</v>
      </c>
      <c r="R11" s="12">
        <f t="shared" si="1"/>
        <v>6.742485783915525E-2</v>
      </c>
      <c r="S11">
        <v>133.6</v>
      </c>
      <c r="T11">
        <v>133.19999999999999</v>
      </c>
      <c r="U11">
        <v>128.9</v>
      </c>
      <c r="V11">
        <v>132.6</v>
      </c>
      <c r="W11" t="s">
        <v>31</v>
      </c>
      <c r="X11">
        <v>126.2</v>
      </c>
      <c r="Y11" s="12">
        <f t="shared" si="2"/>
        <v>8.3261802575107319E-2</v>
      </c>
      <c r="Z11">
        <v>126.6</v>
      </c>
      <c r="AA11">
        <v>123.7</v>
      </c>
      <c r="AB11" s="12">
        <f t="shared" si="3"/>
        <v>7.0995670995671015E-2</v>
      </c>
      <c r="AC11">
        <v>113.6</v>
      </c>
      <c r="AD11">
        <v>121.4</v>
      </c>
      <c r="AE11">
        <v>126.2</v>
      </c>
      <c r="AF11">
        <v>114.9</v>
      </c>
      <c r="AG11">
        <v>120.1</v>
      </c>
      <c r="AH11">
        <v>128.1</v>
      </c>
      <c r="AI11" s="11">
        <f t="shared" si="4"/>
        <v>7.1966527196652669E-2</v>
      </c>
    </row>
    <row r="12" spans="1:36" x14ac:dyDescent="0.25">
      <c r="A12" t="s">
        <v>32</v>
      </c>
      <c r="B12">
        <v>2016</v>
      </c>
      <c r="C12">
        <v>1</v>
      </c>
      <c r="D12" s="13">
        <f t="shared" si="0"/>
        <v>42370</v>
      </c>
      <c r="E12">
        <v>124.7</v>
      </c>
      <c r="F12">
        <v>135.9</v>
      </c>
      <c r="G12">
        <v>132</v>
      </c>
      <c r="H12">
        <v>129.19999999999999</v>
      </c>
      <c r="I12">
        <v>109.7</v>
      </c>
      <c r="J12">
        <v>119</v>
      </c>
      <c r="K12">
        <v>144.1</v>
      </c>
      <c r="L12">
        <v>184.2</v>
      </c>
      <c r="M12">
        <v>96.7</v>
      </c>
      <c r="N12">
        <v>139.5</v>
      </c>
      <c r="O12">
        <v>120.5</v>
      </c>
      <c r="P12">
        <v>134.69999999999999</v>
      </c>
      <c r="Q12">
        <v>131.19999999999999</v>
      </c>
      <c r="R12" s="12">
        <f t="shared" si="1"/>
        <v>-1.52207001522083E-3</v>
      </c>
      <c r="S12">
        <v>139.5</v>
      </c>
      <c r="T12">
        <v>125.8</v>
      </c>
      <c r="U12">
        <v>119.8</v>
      </c>
      <c r="V12">
        <v>124.9</v>
      </c>
      <c r="W12">
        <v>123.4</v>
      </c>
      <c r="X12">
        <v>116.9</v>
      </c>
      <c r="Y12" s="12">
        <f t="shared" si="2"/>
        <v>-7.3692551505546725E-2</v>
      </c>
      <c r="Z12">
        <v>121.6</v>
      </c>
      <c r="AA12">
        <v>119.1</v>
      </c>
      <c r="AB12" s="12">
        <f t="shared" si="3"/>
        <v>-3.7186742118027555E-2</v>
      </c>
      <c r="AC12">
        <v>108.9</v>
      </c>
      <c r="AD12">
        <v>118.5</v>
      </c>
      <c r="AE12">
        <v>126.4</v>
      </c>
      <c r="AF12">
        <v>114</v>
      </c>
      <c r="AG12">
        <v>116.8</v>
      </c>
      <c r="AH12">
        <v>124.2</v>
      </c>
      <c r="AI12" s="11">
        <f t="shared" si="4"/>
        <v>-3.0444964871194313E-2</v>
      </c>
    </row>
    <row r="13" spans="1:36" x14ac:dyDescent="0.25">
      <c r="A13" t="s">
        <v>33</v>
      </c>
      <c r="B13">
        <v>2016</v>
      </c>
      <c r="C13">
        <v>1</v>
      </c>
      <c r="D13" s="13">
        <f t="shared" si="0"/>
        <v>42370</v>
      </c>
      <c r="E13">
        <v>126.1</v>
      </c>
      <c r="F13">
        <v>134.1</v>
      </c>
      <c r="G13">
        <v>128.6</v>
      </c>
      <c r="H13">
        <v>129.9</v>
      </c>
      <c r="I13">
        <v>115.5</v>
      </c>
      <c r="J13">
        <v>125.7</v>
      </c>
      <c r="K13">
        <v>141.5</v>
      </c>
      <c r="L13">
        <v>170.7</v>
      </c>
      <c r="M13">
        <v>97.4</v>
      </c>
      <c r="N13">
        <v>132.9</v>
      </c>
      <c r="O13">
        <v>122.7</v>
      </c>
      <c r="P13">
        <v>135.30000000000001</v>
      </c>
      <c r="Q13">
        <v>131.30000000000001</v>
      </c>
      <c r="R13" s="12">
        <f t="shared" si="1"/>
        <v>7.621951219513929E-4</v>
      </c>
      <c r="S13">
        <v>135.19999999999999</v>
      </c>
      <c r="T13">
        <v>130.30000000000001</v>
      </c>
      <c r="U13">
        <v>125.1</v>
      </c>
      <c r="V13">
        <v>129.5</v>
      </c>
      <c r="W13">
        <v>123.4</v>
      </c>
      <c r="X13">
        <v>122.7</v>
      </c>
      <c r="Y13" s="12">
        <f t="shared" si="2"/>
        <v>4.9615055603079529E-2</v>
      </c>
      <c r="Z13">
        <v>124.2</v>
      </c>
      <c r="AA13">
        <v>122</v>
      </c>
      <c r="AB13" s="12">
        <f t="shared" si="3"/>
        <v>2.4349286314021879E-2</v>
      </c>
      <c r="AC13">
        <v>111.1</v>
      </c>
      <c r="AD13">
        <v>119.8</v>
      </c>
      <c r="AE13">
        <v>126.3</v>
      </c>
      <c r="AF13">
        <v>114.5</v>
      </c>
      <c r="AG13">
        <v>118.5</v>
      </c>
      <c r="AH13">
        <v>126.3</v>
      </c>
      <c r="AI13" s="11">
        <f t="shared" si="4"/>
        <v>1.6908212560386427E-2</v>
      </c>
    </row>
    <row r="14" spans="1:36" x14ac:dyDescent="0.25">
      <c r="A14" t="s">
        <v>30</v>
      </c>
      <c r="B14">
        <v>2017</v>
      </c>
      <c r="C14">
        <v>1</v>
      </c>
      <c r="D14" s="13">
        <f t="shared" si="0"/>
        <v>42736</v>
      </c>
      <c r="E14">
        <v>133.1</v>
      </c>
      <c r="F14">
        <v>137.80000000000001</v>
      </c>
      <c r="G14">
        <v>131.9</v>
      </c>
      <c r="H14">
        <v>136.69999999999999</v>
      </c>
      <c r="I14">
        <v>122</v>
      </c>
      <c r="J14">
        <v>136</v>
      </c>
      <c r="K14">
        <v>119.8</v>
      </c>
      <c r="L14">
        <v>161.69999999999999</v>
      </c>
      <c r="M14">
        <v>114.8</v>
      </c>
      <c r="N14">
        <v>136.9</v>
      </c>
      <c r="O14">
        <v>129</v>
      </c>
      <c r="P14">
        <v>143.9</v>
      </c>
      <c r="Q14">
        <v>133.69999999999999</v>
      </c>
      <c r="R14" s="12">
        <f t="shared" si="1"/>
        <v>1.8278750952018103E-2</v>
      </c>
      <c r="S14">
        <v>143.1</v>
      </c>
      <c r="T14">
        <v>140.69999999999999</v>
      </c>
      <c r="U14">
        <v>135.80000000000001</v>
      </c>
      <c r="V14">
        <v>140</v>
      </c>
      <c r="W14" t="s">
        <v>31</v>
      </c>
      <c r="X14">
        <v>132.1</v>
      </c>
      <c r="Y14" s="12">
        <f t="shared" si="2"/>
        <v>7.6609616951915163E-2</v>
      </c>
      <c r="Z14">
        <v>133.19999999999999</v>
      </c>
      <c r="AA14">
        <v>129.9</v>
      </c>
      <c r="AB14" s="12">
        <f t="shared" si="3"/>
        <v>6.4754098360655779E-2</v>
      </c>
      <c r="AC14">
        <v>119.1</v>
      </c>
      <c r="AD14">
        <v>127</v>
      </c>
      <c r="AE14">
        <v>134.6</v>
      </c>
      <c r="AF14">
        <v>122.3</v>
      </c>
      <c r="AG14">
        <v>126.6</v>
      </c>
      <c r="AH14">
        <v>132.4</v>
      </c>
      <c r="AI14" s="11">
        <f t="shared" si="4"/>
        <v>4.8297703879651689E-2</v>
      </c>
    </row>
    <row r="15" spans="1:36" x14ac:dyDescent="0.25">
      <c r="A15" t="s">
        <v>32</v>
      </c>
      <c r="B15">
        <v>2017</v>
      </c>
      <c r="C15">
        <v>1</v>
      </c>
      <c r="D15" s="13">
        <f t="shared" si="0"/>
        <v>42736</v>
      </c>
      <c r="E15">
        <v>132.19999999999999</v>
      </c>
      <c r="F15">
        <v>138.9</v>
      </c>
      <c r="G15">
        <v>132.6</v>
      </c>
      <c r="H15">
        <v>133.1</v>
      </c>
      <c r="I15">
        <v>114</v>
      </c>
      <c r="J15">
        <v>129.6</v>
      </c>
      <c r="K15">
        <v>118.7</v>
      </c>
      <c r="L15">
        <v>155.1</v>
      </c>
      <c r="M15">
        <v>117.3</v>
      </c>
      <c r="N15">
        <v>144.9</v>
      </c>
      <c r="O15">
        <v>123.2</v>
      </c>
      <c r="P15">
        <v>141.6</v>
      </c>
      <c r="Q15">
        <v>132</v>
      </c>
      <c r="R15" s="12">
        <f t="shared" si="1"/>
        <v>-1.271503365744195E-2</v>
      </c>
      <c r="S15">
        <v>145.6</v>
      </c>
      <c r="T15">
        <v>130.19999999999999</v>
      </c>
      <c r="U15">
        <v>122.3</v>
      </c>
      <c r="V15">
        <v>129</v>
      </c>
      <c r="W15">
        <v>129.6</v>
      </c>
      <c r="X15">
        <v>118</v>
      </c>
      <c r="Y15" s="12">
        <f t="shared" si="2"/>
        <v>-0.1067373202119606</v>
      </c>
      <c r="Z15">
        <v>125.1</v>
      </c>
      <c r="AA15">
        <v>122.6</v>
      </c>
      <c r="AB15" s="12">
        <f t="shared" si="3"/>
        <v>-5.6197074672825337E-2</v>
      </c>
      <c r="AC15">
        <v>115.2</v>
      </c>
      <c r="AD15">
        <v>122</v>
      </c>
      <c r="AE15">
        <v>132.4</v>
      </c>
      <c r="AF15">
        <v>120.9</v>
      </c>
      <c r="AG15">
        <v>122.1</v>
      </c>
      <c r="AH15">
        <v>127.8</v>
      </c>
      <c r="AI15" s="11">
        <f t="shared" si="4"/>
        <v>-3.4743202416918494E-2</v>
      </c>
    </row>
    <row r="16" spans="1:36" x14ac:dyDescent="0.25">
      <c r="A16" t="s">
        <v>33</v>
      </c>
      <c r="B16">
        <v>2017</v>
      </c>
      <c r="C16">
        <v>1</v>
      </c>
      <c r="D16" s="13">
        <f t="shared" si="0"/>
        <v>42736</v>
      </c>
      <c r="E16">
        <v>132.80000000000001</v>
      </c>
      <c r="F16">
        <v>138.19999999999999</v>
      </c>
      <c r="G16">
        <v>132.19999999999999</v>
      </c>
      <c r="H16">
        <v>135.4</v>
      </c>
      <c r="I16">
        <v>119.1</v>
      </c>
      <c r="J16">
        <v>133</v>
      </c>
      <c r="K16">
        <v>119.4</v>
      </c>
      <c r="L16">
        <v>159.5</v>
      </c>
      <c r="M16">
        <v>115.6</v>
      </c>
      <c r="N16">
        <v>139.6</v>
      </c>
      <c r="O16">
        <v>126.6</v>
      </c>
      <c r="P16">
        <v>142.80000000000001</v>
      </c>
      <c r="Q16">
        <v>133.1</v>
      </c>
      <c r="R16" s="12">
        <f t="shared" si="1"/>
        <v>8.3333333333332898E-3</v>
      </c>
      <c r="S16">
        <v>143.80000000000001</v>
      </c>
      <c r="T16">
        <v>136.6</v>
      </c>
      <c r="U16">
        <v>130.19999999999999</v>
      </c>
      <c r="V16">
        <v>135.6</v>
      </c>
      <c r="W16">
        <v>129.6</v>
      </c>
      <c r="X16">
        <v>126.8</v>
      </c>
      <c r="Y16" s="12">
        <f t="shared" si="2"/>
        <v>7.4576271186440654E-2</v>
      </c>
      <c r="Z16">
        <v>129.4</v>
      </c>
      <c r="AA16">
        <v>127.1</v>
      </c>
      <c r="AB16" s="12">
        <f t="shared" si="3"/>
        <v>3.6704730831973897E-2</v>
      </c>
      <c r="AC16">
        <v>117</v>
      </c>
      <c r="AD16">
        <v>124.2</v>
      </c>
      <c r="AE16">
        <v>133.30000000000001</v>
      </c>
      <c r="AF16">
        <v>121.7</v>
      </c>
      <c r="AG16">
        <v>124.4</v>
      </c>
      <c r="AH16">
        <v>130.30000000000001</v>
      </c>
      <c r="AI16" s="11">
        <f t="shared" si="4"/>
        <v>1.9561815336463336E-2</v>
      </c>
    </row>
    <row r="17" spans="1:35" x14ac:dyDescent="0.25">
      <c r="A17" t="s">
        <v>30</v>
      </c>
      <c r="B17">
        <v>2018</v>
      </c>
      <c r="C17">
        <v>1</v>
      </c>
      <c r="D17" s="13">
        <f t="shared" si="0"/>
        <v>43101</v>
      </c>
      <c r="E17">
        <v>136.6</v>
      </c>
      <c r="F17">
        <v>144.4</v>
      </c>
      <c r="G17">
        <v>143.80000000000001</v>
      </c>
      <c r="H17">
        <v>142</v>
      </c>
      <c r="I17">
        <v>123.2</v>
      </c>
      <c r="J17">
        <v>147.9</v>
      </c>
      <c r="K17">
        <v>152.1</v>
      </c>
      <c r="L17">
        <v>131.80000000000001</v>
      </c>
      <c r="M17">
        <v>119.5</v>
      </c>
      <c r="N17">
        <v>136</v>
      </c>
      <c r="O17">
        <v>131.19999999999999</v>
      </c>
      <c r="P17">
        <v>151.80000000000001</v>
      </c>
      <c r="Q17">
        <v>140.4</v>
      </c>
      <c r="R17" s="12">
        <f t="shared" si="1"/>
        <v>5.4845980465815264E-2</v>
      </c>
      <c r="S17">
        <v>153.6</v>
      </c>
      <c r="T17">
        <v>148.30000000000001</v>
      </c>
      <c r="U17">
        <v>142.30000000000001</v>
      </c>
      <c r="V17">
        <v>147.5</v>
      </c>
      <c r="W17" t="s">
        <v>31</v>
      </c>
      <c r="X17">
        <v>142.30000000000001</v>
      </c>
      <c r="Y17" s="12">
        <f t="shared" si="2"/>
        <v>0.12223974763406951</v>
      </c>
      <c r="Z17">
        <v>139.80000000000001</v>
      </c>
      <c r="AA17">
        <v>136</v>
      </c>
      <c r="AB17" s="12">
        <f t="shared" si="3"/>
        <v>7.0023603461841125E-2</v>
      </c>
      <c r="AC17">
        <v>122.7</v>
      </c>
      <c r="AD17">
        <v>134.30000000000001</v>
      </c>
      <c r="AE17">
        <v>141.6</v>
      </c>
      <c r="AF17">
        <v>128.6</v>
      </c>
      <c r="AG17">
        <v>132.30000000000001</v>
      </c>
      <c r="AH17">
        <v>139.30000000000001</v>
      </c>
      <c r="AI17" s="11">
        <f t="shared" si="4"/>
        <v>6.9071373752877974E-2</v>
      </c>
    </row>
    <row r="18" spans="1:35" x14ac:dyDescent="0.25">
      <c r="A18" t="s">
        <v>32</v>
      </c>
      <c r="B18">
        <v>2018</v>
      </c>
      <c r="C18">
        <v>1</v>
      </c>
      <c r="D18" s="13">
        <f t="shared" si="0"/>
        <v>43101</v>
      </c>
      <c r="E18">
        <v>134.6</v>
      </c>
      <c r="F18">
        <v>143.69999999999999</v>
      </c>
      <c r="G18">
        <v>143.6</v>
      </c>
      <c r="H18">
        <v>139.6</v>
      </c>
      <c r="I18">
        <v>116.4</v>
      </c>
      <c r="J18">
        <v>133.80000000000001</v>
      </c>
      <c r="K18">
        <v>150.5</v>
      </c>
      <c r="L18">
        <v>118.4</v>
      </c>
      <c r="M18">
        <v>117.3</v>
      </c>
      <c r="N18">
        <v>140.5</v>
      </c>
      <c r="O18">
        <v>125.9</v>
      </c>
      <c r="P18">
        <v>146.80000000000001</v>
      </c>
      <c r="Q18">
        <v>137.19999999999999</v>
      </c>
      <c r="R18" s="12">
        <f t="shared" si="1"/>
        <v>-2.2792022792022911E-2</v>
      </c>
      <c r="S18">
        <v>157.69999999999999</v>
      </c>
      <c r="T18">
        <v>136</v>
      </c>
      <c r="U18">
        <v>125.9</v>
      </c>
      <c r="V18">
        <v>134.4</v>
      </c>
      <c r="W18">
        <v>140.4</v>
      </c>
      <c r="X18">
        <v>127.3</v>
      </c>
      <c r="Y18" s="12">
        <f t="shared" si="2"/>
        <v>-0.10541110330288132</v>
      </c>
      <c r="Z18">
        <v>129.5</v>
      </c>
      <c r="AA18">
        <v>129</v>
      </c>
      <c r="AB18" s="12">
        <f t="shared" si="3"/>
        <v>-5.1470588235294115E-2</v>
      </c>
      <c r="AC18">
        <v>116.3</v>
      </c>
      <c r="AD18">
        <v>126.2</v>
      </c>
      <c r="AE18">
        <v>137.1</v>
      </c>
      <c r="AF18">
        <v>125.5</v>
      </c>
      <c r="AG18">
        <v>125.8</v>
      </c>
      <c r="AH18">
        <v>134.1</v>
      </c>
      <c r="AI18" s="11">
        <f t="shared" si="4"/>
        <v>-3.7329504666188201E-2</v>
      </c>
    </row>
    <row r="19" spans="1:35" x14ac:dyDescent="0.25">
      <c r="A19" t="s">
        <v>33</v>
      </c>
      <c r="B19">
        <v>2018</v>
      </c>
      <c r="C19">
        <v>1</v>
      </c>
      <c r="D19" s="13">
        <f t="shared" si="0"/>
        <v>43101</v>
      </c>
      <c r="E19">
        <v>136</v>
      </c>
      <c r="F19">
        <v>144.19999999999999</v>
      </c>
      <c r="G19">
        <v>143.69999999999999</v>
      </c>
      <c r="H19">
        <v>141.1</v>
      </c>
      <c r="I19">
        <v>120.7</v>
      </c>
      <c r="J19">
        <v>141.30000000000001</v>
      </c>
      <c r="K19">
        <v>151.6</v>
      </c>
      <c r="L19">
        <v>127.3</v>
      </c>
      <c r="M19">
        <v>118.8</v>
      </c>
      <c r="N19">
        <v>137.5</v>
      </c>
      <c r="O19">
        <v>129</v>
      </c>
      <c r="P19">
        <v>149.5</v>
      </c>
      <c r="Q19">
        <v>139.19999999999999</v>
      </c>
      <c r="R19" s="12">
        <f t="shared" si="1"/>
        <v>1.457725947521866E-2</v>
      </c>
      <c r="S19">
        <v>154.69999999999999</v>
      </c>
      <c r="T19">
        <v>143.5</v>
      </c>
      <c r="U19">
        <v>135.5</v>
      </c>
      <c r="V19">
        <v>142.30000000000001</v>
      </c>
      <c r="W19">
        <v>140.4</v>
      </c>
      <c r="X19">
        <v>136.6</v>
      </c>
      <c r="Y19" s="12">
        <f t="shared" si="2"/>
        <v>7.3055773762765105E-2</v>
      </c>
      <c r="Z19">
        <v>134.9</v>
      </c>
      <c r="AA19">
        <v>133.30000000000001</v>
      </c>
      <c r="AB19" s="12">
        <f t="shared" si="3"/>
        <v>3.3333333333333423E-2</v>
      </c>
      <c r="AC19">
        <v>119.3</v>
      </c>
      <c r="AD19">
        <v>129.69999999999999</v>
      </c>
      <c r="AE19">
        <v>139</v>
      </c>
      <c r="AF19">
        <v>127.3</v>
      </c>
      <c r="AG19">
        <v>129.1</v>
      </c>
      <c r="AH19">
        <v>136.9</v>
      </c>
      <c r="AI19" s="11">
        <f t="shared" si="4"/>
        <v>2.0879940343027675E-2</v>
      </c>
    </row>
    <row r="20" spans="1:35" x14ac:dyDescent="0.25">
      <c r="A20" t="s">
        <v>30</v>
      </c>
      <c r="B20">
        <v>2019</v>
      </c>
      <c r="C20">
        <v>1</v>
      </c>
      <c r="D20" s="13">
        <f t="shared" si="0"/>
        <v>43466</v>
      </c>
      <c r="E20">
        <v>136.6</v>
      </c>
      <c r="F20">
        <v>152.5</v>
      </c>
      <c r="G20">
        <v>138.19999999999999</v>
      </c>
      <c r="H20">
        <v>142.4</v>
      </c>
      <c r="I20">
        <v>123.9</v>
      </c>
      <c r="J20">
        <v>135.5</v>
      </c>
      <c r="K20">
        <v>131.69999999999999</v>
      </c>
      <c r="L20">
        <v>121.3</v>
      </c>
      <c r="M20">
        <v>108.4</v>
      </c>
      <c r="N20">
        <v>138.9</v>
      </c>
      <c r="O20">
        <v>137</v>
      </c>
      <c r="P20">
        <v>155.80000000000001</v>
      </c>
      <c r="Q20">
        <v>137.4</v>
      </c>
      <c r="R20" s="12">
        <f t="shared" si="1"/>
        <v>-1.2931034482758499E-2</v>
      </c>
      <c r="S20">
        <v>162.69999999999999</v>
      </c>
      <c r="T20">
        <v>150.6</v>
      </c>
      <c r="U20">
        <v>145.1</v>
      </c>
      <c r="V20">
        <v>149.9</v>
      </c>
      <c r="W20" t="s">
        <v>31</v>
      </c>
      <c r="X20">
        <v>146.19999999999999</v>
      </c>
      <c r="Y20" s="12">
        <f t="shared" si="2"/>
        <v>7.0278184480234221E-2</v>
      </c>
      <c r="Z20">
        <v>150.1</v>
      </c>
      <c r="AA20">
        <v>149.6</v>
      </c>
      <c r="AB20" s="12">
        <f t="shared" si="3"/>
        <v>0.1222805701425355</v>
      </c>
      <c r="AC20">
        <v>128.6</v>
      </c>
      <c r="AD20">
        <v>142.9</v>
      </c>
      <c r="AE20">
        <v>155.19999999999999</v>
      </c>
      <c r="AF20">
        <v>133.5</v>
      </c>
      <c r="AG20">
        <v>141.69999999999999</v>
      </c>
      <c r="AH20">
        <v>141</v>
      </c>
      <c r="AI20" s="11">
        <f t="shared" si="4"/>
        <v>2.9948867786705583E-2</v>
      </c>
    </row>
    <row r="21" spans="1:35" x14ac:dyDescent="0.25">
      <c r="A21" t="s">
        <v>32</v>
      </c>
      <c r="B21">
        <v>2019</v>
      </c>
      <c r="C21">
        <v>1</v>
      </c>
      <c r="D21" s="13">
        <f t="shared" si="0"/>
        <v>43466</v>
      </c>
      <c r="E21">
        <v>138.30000000000001</v>
      </c>
      <c r="F21">
        <v>149.4</v>
      </c>
      <c r="G21">
        <v>143.5</v>
      </c>
      <c r="H21">
        <v>141.69999999999999</v>
      </c>
      <c r="I21">
        <v>118.1</v>
      </c>
      <c r="J21">
        <v>135.19999999999999</v>
      </c>
      <c r="K21">
        <v>130.5</v>
      </c>
      <c r="L21">
        <v>118.2</v>
      </c>
      <c r="M21">
        <v>110.4</v>
      </c>
      <c r="N21">
        <v>140.4</v>
      </c>
      <c r="O21">
        <v>128.1</v>
      </c>
      <c r="P21">
        <v>153.19999999999999</v>
      </c>
      <c r="Q21">
        <v>137.30000000000001</v>
      </c>
      <c r="R21" s="12">
        <f t="shared" si="1"/>
        <v>-7.2780203784566459E-4</v>
      </c>
      <c r="S21">
        <v>164.7</v>
      </c>
      <c r="T21">
        <v>143</v>
      </c>
      <c r="U21">
        <v>130.4</v>
      </c>
      <c r="V21">
        <v>141.1</v>
      </c>
      <c r="W21">
        <v>147.69999999999999</v>
      </c>
      <c r="X21">
        <v>128.6</v>
      </c>
      <c r="Y21" s="12">
        <f t="shared" si="2"/>
        <v>-0.12038303693570448</v>
      </c>
      <c r="Z21">
        <v>136.30000000000001</v>
      </c>
      <c r="AA21">
        <v>137.80000000000001</v>
      </c>
      <c r="AB21" s="12">
        <f t="shared" si="3"/>
        <v>-7.8877005347593468E-2</v>
      </c>
      <c r="AC21">
        <v>118.6</v>
      </c>
      <c r="AD21">
        <v>131.9</v>
      </c>
      <c r="AE21">
        <v>146.6</v>
      </c>
      <c r="AF21">
        <v>131.69999999999999</v>
      </c>
      <c r="AG21">
        <v>131.80000000000001</v>
      </c>
      <c r="AH21">
        <v>138</v>
      </c>
      <c r="AI21" s="11">
        <f t="shared" si="4"/>
        <v>-2.1276595744680851E-2</v>
      </c>
    </row>
    <row r="22" spans="1:35" x14ac:dyDescent="0.25">
      <c r="A22" t="s">
        <v>33</v>
      </c>
      <c r="B22">
        <v>2019</v>
      </c>
      <c r="C22">
        <v>1</v>
      </c>
      <c r="D22" s="13">
        <f t="shared" si="0"/>
        <v>43466</v>
      </c>
      <c r="E22">
        <v>137.1</v>
      </c>
      <c r="F22">
        <v>151.4</v>
      </c>
      <c r="G22">
        <v>140.19999999999999</v>
      </c>
      <c r="H22">
        <v>142.1</v>
      </c>
      <c r="I22">
        <v>121.8</v>
      </c>
      <c r="J22">
        <v>135.4</v>
      </c>
      <c r="K22">
        <v>131.30000000000001</v>
      </c>
      <c r="L22">
        <v>120.3</v>
      </c>
      <c r="M22">
        <v>109.1</v>
      </c>
      <c r="N22">
        <v>139.4</v>
      </c>
      <c r="O22">
        <v>133.30000000000001</v>
      </c>
      <c r="P22">
        <v>154.6</v>
      </c>
      <c r="Q22">
        <v>137.4</v>
      </c>
      <c r="R22" s="12">
        <f t="shared" si="1"/>
        <v>7.283321194464261E-4</v>
      </c>
      <c r="S22">
        <v>163.19999999999999</v>
      </c>
      <c r="T22">
        <v>147.6</v>
      </c>
      <c r="U22">
        <v>139</v>
      </c>
      <c r="V22">
        <v>146.4</v>
      </c>
      <c r="W22">
        <v>147.69999999999999</v>
      </c>
      <c r="X22">
        <v>139.5</v>
      </c>
      <c r="Y22" s="12">
        <f t="shared" si="2"/>
        <v>8.475894245723177E-2</v>
      </c>
      <c r="Z22">
        <v>143.6</v>
      </c>
      <c r="AA22">
        <v>145.1</v>
      </c>
      <c r="AB22" s="12">
        <f t="shared" si="3"/>
        <v>5.2975326560232093E-2</v>
      </c>
      <c r="AC22">
        <v>123.3</v>
      </c>
      <c r="AD22">
        <v>136.69999999999999</v>
      </c>
      <c r="AE22">
        <v>150.19999999999999</v>
      </c>
      <c r="AF22">
        <v>132.80000000000001</v>
      </c>
      <c r="AG22">
        <v>136.9</v>
      </c>
      <c r="AH22">
        <v>139.6</v>
      </c>
      <c r="AI22" s="11">
        <f t="shared" si="4"/>
        <v>1.1594202898550683E-2</v>
      </c>
    </row>
    <row r="23" spans="1:35" x14ac:dyDescent="0.25">
      <c r="A23" t="s">
        <v>30</v>
      </c>
      <c r="B23">
        <v>2020</v>
      </c>
      <c r="C23">
        <v>1</v>
      </c>
      <c r="D23" s="13">
        <f t="shared" si="0"/>
        <v>43831</v>
      </c>
      <c r="E23">
        <v>143.69999999999999</v>
      </c>
      <c r="F23">
        <v>167.3</v>
      </c>
      <c r="G23">
        <v>153.5</v>
      </c>
      <c r="H23">
        <v>150.5</v>
      </c>
      <c r="I23">
        <v>132</v>
      </c>
      <c r="J23">
        <v>142.19999999999999</v>
      </c>
      <c r="K23">
        <v>191.5</v>
      </c>
      <c r="L23">
        <v>141.1</v>
      </c>
      <c r="M23">
        <v>113.8</v>
      </c>
      <c r="N23">
        <v>151.6</v>
      </c>
      <c r="O23">
        <v>139.69999999999999</v>
      </c>
      <c r="P23">
        <v>158.69999999999999</v>
      </c>
      <c r="Q23">
        <v>153</v>
      </c>
      <c r="R23" s="12">
        <f t="shared" si="1"/>
        <v>0.11353711790393009</v>
      </c>
      <c r="S23">
        <v>168.6</v>
      </c>
      <c r="T23">
        <v>152.80000000000001</v>
      </c>
      <c r="U23">
        <v>147.4</v>
      </c>
      <c r="V23">
        <v>152.1</v>
      </c>
      <c r="W23" t="s">
        <v>31</v>
      </c>
      <c r="X23">
        <v>150.4</v>
      </c>
      <c r="Y23" s="12">
        <f t="shared" si="2"/>
        <v>7.8136200716845919E-2</v>
      </c>
      <c r="Z23">
        <v>151.69999999999999</v>
      </c>
      <c r="AA23">
        <v>155.69999999999999</v>
      </c>
      <c r="AB23" s="12">
        <f t="shared" si="3"/>
        <v>7.3053066850447934E-2</v>
      </c>
      <c r="AC23">
        <v>136.30000000000001</v>
      </c>
      <c r="AD23">
        <v>150.1</v>
      </c>
      <c r="AE23">
        <v>161.69999999999999</v>
      </c>
      <c r="AF23">
        <v>142.5</v>
      </c>
      <c r="AG23">
        <v>148.1</v>
      </c>
      <c r="AH23">
        <v>151.9</v>
      </c>
      <c r="AI23" s="11">
        <f t="shared" si="4"/>
        <v>8.8108882521490059E-2</v>
      </c>
    </row>
    <row r="24" spans="1:35" x14ac:dyDescent="0.25">
      <c r="A24" t="s">
        <v>32</v>
      </c>
      <c r="B24">
        <v>2020</v>
      </c>
      <c r="C24">
        <v>1</v>
      </c>
      <c r="D24" s="13">
        <f t="shared" si="0"/>
        <v>43831</v>
      </c>
      <c r="E24">
        <v>145.6</v>
      </c>
      <c r="F24">
        <v>167.6</v>
      </c>
      <c r="G24">
        <v>157</v>
      </c>
      <c r="H24">
        <v>149.30000000000001</v>
      </c>
      <c r="I24">
        <v>126.3</v>
      </c>
      <c r="J24">
        <v>144.4</v>
      </c>
      <c r="K24">
        <v>207.8</v>
      </c>
      <c r="L24">
        <v>139.1</v>
      </c>
      <c r="M24">
        <v>114.8</v>
      </c>
      <c r="N24">
        <v>149.5</v>
      </c>
      <c r="O24">
        <v>131.1</v>
      </c>
      <c r="P24">
        <v>158.5</v>
      </c>
      <c r="Q24">
        <v>154.4</v>
      </c>
      <c r="R24" s="12">
        <f t="shared" si="1"/>
        <v>9.1503267973856578E-3</v>
      </c>
      <c r="S24">
        <v>170.8</v>
      </c>
      <c r="T24">
        <v>147</v>
      </c>
      <c r="U24">
        <v>133.19999999999999</v>
      </c>
      <c r="V24">
        <v>144.9</v>
      </c>
      <c r="W24">
        <v>153.9</v>
      </c>
      <c r="X24">
        <v>135.1</v>
      </c>
      <c r="Y24" s="12">
        <f t="shared" si="2"/>
        <v>-0.10172872340425539</v>
      </c>
      <c r="Z24">
        <v>140.1</v>
      </c>
      <c r="AA24">
        <v>143.80000000000001</v>
      </c>
      <c r="AB24" s="12">
        <f t="shared" si="3"/>
        <v>-7.6429030186255478E-2</v>
      </c>
      <c r="AC24">
        <v>126.1</v>
      </c>
      <c r="AD24">
        <v>137.19999999999999</v>
      </c>
      <c r="AE24">
        <v>152.1</v>
      </c>
      <c r="AF24">
        <v>142.1</v>
      </c>
      <c r="AG24">
        <v>138.4</v>
      </c>
      <c r="AH24">
        <v>148.19999999999999</v>
      </c>
      <c r="AI24" s="11">
        <f t="shared" si="4"/>
        <v>-2.4358130348913869E-2</v>
      </c>
    </row>
    <row r="25" spans="1:35" x14ac:dyDescent="0.25">
      <c r="A25" t="s">
        <v>33</v>
      </c>
      <c r="B25">
        <v>2020</v>
      </c>
      <c r="C25">
        <v>1</v>
      </c>
      <c r="D25" s="13">
        <f t="shared" si="0"/>
        <v>43831</v>
      </c>
      <c r="E25">
        <v>144.30000000000001</v>
      </c>
      <c r="F25">
        <v>167.4</v>
      </c>
      <c r="G25">
        <v>154.9</v>
      </c>
      <c r="H25">
        <v>150.1</v>
      </c>
      <c r="I25">
        <v>129.9</v>
      </c>
      <c r="J25">
        <v>143.19999999999999</v>
      </c>
      <c r="K25">
        <v>197</v>
      </c>
      <c r="L25">
        <v>140.4</v>
      </c>
      <c r="M25">
        <v>114.1</v>
      </c>
      <c r="N25">
        <v>150.9</v>
      </c>
      <c r="O25">
        <v>136.1</v>
      </c>
      <c r="P25">
        <v>158.6</v>
      </c>
      <c r="Q25">
        <v>153.5</v>
      </c>
      <c r="R25" s="12">
        <f t="shared" si="1"/>
        <v>-5.8290155440414871E-3</v>
      </c>
      <c r="S25">
        <v>169.2</v>
      </c>
      <c r="T25">
        <v>150.5</v>
      </c>
      <c r="U25">
        <v>141.5</v>
      </c>
      <c r="V25">
        <v>149.19999999999999</v>
      </c>
      <c r="W25">
        <v>153.9</v>
      </c>
      <c r="X25">
        <v>144.6</v>
      </c>
      <c r="Y25" s="12">
        <f t="shared" si="2"/>
        <v>7.0318282753515912E-2</v>
      </c>
      <c r="Z25">
        <v>146.19999999999999</v>
      </c>
      <c r="AA25">
        <v>151.19999999999999</v>
      </c>
      <c r="AB25" s="12">
        <f t="shared" si="3"/>
        <v>5.1460361613351713E-2</v>
      </c>
      <c r="AC25">
        <v>130.9</v>
      </c>
      <c r="AD25">
        <v>142.80000000000001</v>
      </c>
      <c r="AE25">
        <v>156.1</v>
      </c>
      <c r="AF25">
        <v>142.30000000000001</v>
      </c>
      <c r="AG25">
        <v>143.4</v>
      </c>
      <c r="AH25">
        <v>150.19999999999999</v>
      </c>
      <c r="AI25" s="11">
        <f t="shared" si="4"/>
        <v>1.3495276653171391E-2</v>
      </c>
    </row>
    <row r="26" spans="1:35" x14ac:dyDescent="0.25">
      <c r="A26" t="s">
        <v>30</v>
      </c>
      <c r="B26">
        <v>2021</v>
      </c>
      <c r="C26">
        <v>1</v>
      </c>
      <c r="D26" s="13">
        <f t="shared" si="0"/>
        <v>44197</v>
      </c>
      <c r="E26">
        <v>143.4</v>
      </c>
      <c r="F26">
        <v>187.5</v>
      </c>
      <c r="G26">
        <v>173.4</v>
      </c>
      <c r="H26">
        <v>154</v>
      </c>
      <c r="I26">
        <v>154.80000000000001</v>
      </c>
      <c r="J26">
        <v>147</v>
      </c>
      <c r="K26">
        <v>187.8</v>
      </c>
      <c r="L26">
        <v>159.5</v>
      </c>
      <c r="M26">
        <v>113.8</v>
      </c>
      <c r="N26">
        <v>164.5</v>
      </c>
      <c r="O26">
        <v>156.1</v>
      </c>
      <c r="P26">
        <v>164.3</v>
      </c>
      <c r="Q26">
        <v>159.6</v>
      </c>
      <c r="R26" s="12">
        <f t="shared" si="1"/>
        <v>3.9739413680781724E-2</v>
      </c>
      <c r="S26">
        <v>184.6</v>
      </c>
      <c r="T26">
        <v>157.5</v>
      </c>
      <c r="U26">
        <v>152.4</v>
      </c>
      <c r="V26">
        <v>156.80000000000001</v>
      </c>
      <c r="W26" t="s">
        <v>31</v>
      </c>
      <c r="X26">
        <v>150.9</v>
      </c>
      <c r="Y26" s="12">
        <f t="shared" si="2"/>
        <v>4.3568464730290538E-2</v>
      </c>
      <c r="Z26">
        <v>153.9</v>
      </c>
      <c r="AA26">
        <v>162.5</v>
      </c>
      <c r="AB26" s="12">
        <f t="shared" si="3"/>
        <v>7.4735449735449822E-2</v>
      </c>
      <c r="AC26">
        <v>147.5</v>
      </c>
      <c r="AD26">
        <v>155.1</v>
      </c>
      <c r="AE26">
        <v>163.5</v>
      </c>
      <c r="AF26">
        <v>156.19999999999999</v>
      </c>
      <c r="AG26">
        <v>155.9</v>
      </c>
      <c r="AH26">
        <v>158.5</v>
      </c>
      <c r="AI26" s="11">
        <f t="shared" si="4"/>
        <v>5.5259653794940161E-2</v>
      </c>
    </row>
    <row r="27" spans="1:35" x14ac:dyDescent="0.25">
      <c r="A27" t="s">
        <v>32</v>
      </c>
      <c r="B27">
        <v>2021</v>
      </c>
      <c r="C27">
        <v>1</v>
      </c>
      <c r="D27" s="13">
        <f t="shared" si="0"/>
        <v>44197</v>
      </c>
      <c r="E27">
        <v>148</v>
      </c>
      <c r="F27">
        <v>194.8</v>
      </c>
      <c r="G27">
        <v>178.4</v>
      </c>
      <c r="H27">
        <v>154.4</v>
      </c>
      <c r="I27">
        <v>144.1</v>
      </c>
      <c r="J27">
        <v>152.6</v>
      </c>
      <c r="K27">
        <v>206.8</v>
      </c>
      <c r="L27">
        <v>162.1</v>
      </c>
      <c r="M27">
        <v>116.3</v>
      </c>
      <c r="N27">
        <v>163</v>
      </c>
      <c r="O27">
        <v>145.9</v>
      </c>
      <c r="P27">
        <v>167.2</v>
      </c>
      <c r="Q27">
        <v>163.4</v>
      </c>
      <c r="R27" s="12">
        <f t="shared" si="1"/>
        <v>2.3809523809523881E-2</v>
      </c>
      <c r="S27">
        <v>191.8</v>
      </c>
      <c r="T27">
        <v>152.5</v>
      </c>
      <c r="U27">
        <v>137.30000000000001</v>
      </c>
      <c r="V27">
        <v>150.19999999999999</v>
      </c>
      <c r="W27">
        <v>157.69999999999999</v>
      </c>
      <c r="X27">
        <v>142.9</v>
      </c>
      <c r="Y27" s="12">
        <f t="shared" si="2"/>
        <v>-5.3015241882041084E-2</v>
      </c>
      <c r="Z27">
        <v>145.69999999999999</v>
      </c>
      <c r="AA27">
        <v>154.1</v>
      </c>
      <c r="AB27" s="12">
        <f t="shared" si="3"/>
        <v>-5.1692307692307725E-2</v>
      </c>
      <c r="AC27">
        <v>136.9</v>
      </c>
      <c r="AD27">
        <v>145.4</v>
      </c>
      <c r="AE27">
        <v>156.1</v>
      </c>
      <c r="AF27">
        <v>157.69999999999999</v>
      </c>
      <c r="AG27">
        <v>147.6</v>
      </c>
      <c r="AH27">
        <v>156</v>
      </c>
      <c r="AI27" s="11">
        <f t="shared" si="4"/>
        <v>-1.5772870662460567E-2</v>
      </c>
    </row>
    <row r="28" spans="1:35" x14ac:dyDescent="0.25">
      <c r="A28" t="s">
        <v>33</v>
      </c>
      <c r="B28">
        <v>2021</v>
      </c>
      <c r="C28">
        <v>1</v>
      </c>
      <c r="D28" s="13">
        <f t="shared" si="0"/>
        <v>44197</v>
      </c>
      <c r="E28">
        <v>144.9</v>
      </c>
      <c r="F28">
        <v>190.1</v>
      </c>
      <c r="G28">
        <v>175.3</v>
      </c>
      <c r="H28">
        <v>154.1</v>
      </c>
      <c r="I28">
        <v>150.9</v>
      </c>
      <c r="J28">
        <v>149.6</v>
      </c>
      <c r="K28">
        <v>194.2</v>
      </c>
      <c r="L28">
        <v>160.4</v>
      </c>
      <c r="M28">
        <v>114.6</v>
      </c>
      <c r="N28">
        <v>164</v>
      </c>
      <c r="O28">
        <v>151.80000000000001</v>
      </c>
      <c r="P28">
        <v>165.6</v>
      </c>
      <c r="Q28">
        <v>161</v>
      </c>
      <c r="R28" s="12">
        <f t="shared" si="1"/>
        <v>-1.468788249694006E-2</v>
      </c>
      <c r="S28">
        <v>186.5</v>
      </c>
      <c r="T28">
        <v>155.5</v>
      </c>
      <c r="U28">
        <v>146.1</v>
      </c>
      <c r="V28">
        <v>154.19999999999999</v>
      </c>
      <c r="W28">
        <v>157.69999999999999</v>
      </c>
      <c r="X28">
        <v>147.9</v>
      </c>
      <c r="Y28" s="12">
        <f t="shared" si="2"/>
        <v>3.498950314905528E-2</v>
      </c>
      <c r="Z28">
        <v>150</v>
      </c>
      <c r="AA28">
        <v>159.30000000000001</v>
      </c>
      <c r="AB28" s="12">
        <f t="shared" si="3"/>
        <v>3.3744321868916398E-2</v>
      </c>
      <c r="AC28">
        <v>141.9</v>
      </c>
      <c r="AD28">
        <v>149.6</v>
      </c>
      <c r="AE28">
        <v>159.19999999999999</v>
      </c>
      <c r="AF28">
        <v>156.80000000000001</v>
      </c>
      <c r="AG28">
        <v>151.9</v>
      </c>
      <c r="AH28">
        <v>157.30000000000001</v>
      </c>
      <c r="AI28" s="11">
        <f t="shared" si="4"/>
        <v>8.3333333333334061E-3</v>
      </c>
    </row>
    <row r="29" spans="1:35" x14ac:dyDescent="0.25">
      <c r="A29" t="s">
        <v>30</v>
      </c>
      <c r="B29">
        <v>2022</v>
      </c>
      <c r="C29">
        <v>1</v>
      </c>
      <c r="D29" s="13">
        <f t="shared" si="0"/>
        <v>44562</v>
      </c>
      <c r="E29">
        <v>148.30000000000001</v>
      </c>
      <c r="F29">
        <v>196.9</v>
      </c>
      <c r="G29">
        <v>178</v>
      </c>
      <c r="H29">
        <v>160.5</v>
      </c>
      <c r="I29">
        <v>192.6</v>
      </c>
      <c r="J29">
        <v>151.19999999999999</v>
      </c>
      <c r="K29">
        <v>159.19999999999999</v>
      </c>
      <c r="L29">
        <v>164</v>
      </c>
      <c r="M29">
        <v>119.3</v>
      </c>
      <c r="N29">
        <v>173.3</v>
      </c>
      <c r="O29">
        <v>169.8</v>
      </c>
      <c r="P29">
        <v>175.8</v>
      </c>
      <c r="Q29">
        <v>164.1</v>
      </c>
      <c r="R29" s="12">
        <f t="shared" si="1"/>
        <v>1.9254658385093132E-2</v>
      </c>
      <c r="S29">
        <v>190.7</v>
      </c>
      <c r="T29">
        <v>173.2</v>
      </c>
      <c r="U29">
        <v>169.3</v>
      </c>
      <c r="V29">
        <v>172.7</v>
      </c>
      <c r="W29" t="s">
        <v>31</v>
      </c>
      <c r="X29">
        <v>165.8</v>
      </c>
      <c r="Y29" s="12">
        <f t="shared" si="2"/>
        <v>0.12102772143340099</v>
      </c>
      <c r="Z29">
        <v>164.9</v>
      </c>
      <c r="AA29">
        <v>174.7</v>
      </c>
      <c r="AB29" s="12">
        <f t="shared" si="3"/>
        <v>9.6672944130571106E-2</v>
      </c>
      <c r="AC29">
        <v>160.80000000000001</v>
      </c>
      <c r="AD29">
        <v>164.9</v>
      </c>
      <c r="AE29">
        <v>169.9</v>
      </c>
      <c r="AF29">
        <v>163.19999999999999</v>
      </c>
      <c r="AG29">
        <v>166.6</v>
      </c>
      <c r="AH29">
        <v>166.4</v>
      </c>
      <c r="AI29" s="11">
        <f t="shared" si="4"/>
        <v>5.7851239669421448E-2</v>
      </c>
    </row>
    <row r="30" spans="1:35" x14ac:dyDescent="0.25">
      <c r="A30" t="s">
        <v>32</v>
      </c>
      <c r="B30">
        <v>2022</v>
      </c>
      <c r="C30">
        <v>1</v>
      </c>
      <c r="D30" s="13">
        <f t="shared" si="0"/>
        <v>44562</v>
      </c>
      <c r="E30">
        <v>152.19999999999999</v>
      </c>
      <c r="F30">
        <v>202.1</v>
      </c>
      <c r="G30">
        <v>180.1</v>
      </c>
      <c r="H30">
        <v>160.4</v>
      </c>
      <c r="I30">
        <v>171</v>
      </c>
      <c r="J30">
        <v>156.5</v>
      </c>
      <c r="K30">
        <v>203.6</v>
      </c>
      <c r="L30">
        <v>163.80000000000001</v>
      </c>
      <c r="M30">
        <v>121.3</v>
      </c>
      <c r="N30">
        <v>169.8</v>
      </c>
      <c r="O30">
        <v>156.6</v>
      </c>
      <c r="P30">
        <v>179</v>
      </c>
      <c r="Q30">
        <v>170.3</v>
      </c>
      <c r="R30" s="12">
        <f t="shared" si="1"/>
        <v>3.7781840341255438E-2</v>
      </c>
      <c r="S30">
        <v>196.4</v>
      </c>
      <c r="T30">
        <v>164.7</v>
      </c>
      <c r="U30">
        <v>148.5</v>
      </c>
      <c r="V30">
        <v>162.19999999999999</v>
      </c>
      <c r="W30">
        <v>164.5</v>
      </c>
      <c r="X30">
        <v>161.6</v>
      </c>
      <c r="Y30" s="12">
        <f t="shared" si="2"/>
        <v>-2.5331724969843285E-2</v>
      </c>
      <c r="Z30">
        <v>156.80000000000001</v>
      </c>
      <c r="AA30">
        <v>166.1</v>
      </c>
      <c r="AB30" s="12">
        <f t="shared" si="3"/>
        <v>-4.9227246708643362E-2</v>
      </c>
      <c r="AC30">
        <v>152.69999999999999</v>
      </c>
      <c r="AD30">
        <v>158.4</v>
      </c>
      <c r="AE30">
        <v>161</v>
      </c>
      <c r="AF30">
        <v>162.80000000000001</v>
      </c>
      <c r="AG30">
        <v>158.6</v>
      </c>
      <c r="AH30">
        <v>165</v>
      </c>
      <c r="AI30" s="11">
        <f t="shared" si="4"/>
        <v>-8.4134615384615728E-3</v>
      </c>
    </row>
    <row r="31" spans="1:35" x14ac:dyDescent="0.25">
      <c r="A31" t="s">
        <v>33</v>
      </c>
      <c r="B31">
        <v>2022</v>
      </c>
      <c r="C31">
        <v>1</v>
      </c>
      <c r="D31" s="13">
        <f t="shared" si="0"/>
        <v>44562</v>
      </c>
      <c r="E31">
        <v>149.5</v>
      </c>
      <c r="F31">
        <v>198.7</v>
      </c>
      <c r="G31">
        <v>178.8</v>
      </c>
      <c r="H31">
        <v>160.5</v>
      </c>
      <c r="I31">
        <v>184.7</v>
      </c>
      <c r="J31">
        <v>153.69999999999999</v>
      </c>
      <c r="K31">
        <v>174.3</v>
      </c>
      <c r="L31">
        <v>163.9</v>
      </c>
      <c r="M31">
        <v>120</v>
      </c>
      <c r="N31">
        <v>172.1</v>
      </c>
      <c r="O31">
        <v>164.3</v>
      </c>
      <c r="P31">
        <v>177.3</v>
      </c>
      <c r="Q31">
        <v>166.4</v>
      </c>
      <c r="R31" s="12">
        <f t="shared" si="1"/>
        <v>-2.2900763358778657E-2</v>
      </c>
      <c r="S31">
        <v>192.2</v>
      </c>
      <c r="T31">
        <v>169.9</v>
      </c>
      <c r="U31">
        <v>160.69999999999999</v>
      </c>
      <c r="V31">
        <v>168.5</v>
      </c>
      <c r="W31">
        <v>164.5</v>
      </c>
      <c r="X31">
        <v>164.2</v>
      </c>
      <c r="Y31" s="12">
        <f t="shared" si="2"/>
        <v>1.6089108910891055E-2</v>
      </c>
      <c r="Z31">
        <v>161.1</v>
      </c>
      <c r="AA31">
        <v>171.4</v>
      </c>
      <c r="AB31" s="12">
        <f t="shared" si="3"/>
        <v>3.1908488862131316E-2</v>
      </c>
      <c r="AC31">
        <v>156.5</v>
      </c>
      <c r="AD31">
        <v>161.19999999999999</v>
      </c>
      <c r="AE31">
        <v>164.7</v>
      </c>
      <c r="AF31">
        <v>163</v>
      </c>
      <c r="AG31">
        <v>162.69999999999999</v>
      </c>
      <c r="AH31">
        <v>165.7</v>
      </c>
      <c r="AI31" s="11">
        <f t="shared" si="4"/>
        <v>4.2424242424241735E-3</v>
      </c>
    </row>
    <row r="32" spans="1:35" x14ac:dyDescent="0.25">
      <c r="A32" t="s">
        <v>30</v>
      </c>
      <c r="B32">
        <v>2023</v>
      </c>
      <c r="C32">
        <v>1</v>
      </c>
      <c r="D32" s="13">
        <f t="shared" si="0"/>
        <v>44927</v>
      </c>
      <c r="E32">
        <v>174</v>
      </c>
      <c r="F32">
        <v>208.3</v>
      </c>
      <c r="G32">
        <v>192.9</v>
      </c>
      <c r="H32">
        <v>174.3</v>
      </c>
      <c r="I32">
        <v>192.6</v>
      </c>
      <c r="J32">
        <v>156.30000000000001</v>
      </c>
      <c r="K32">
        <v>142.9</v>
      </c>
      <c r="L32">
        <v>170.7</v>
      </c>
      <c r="M32">
        <v>120.3</v>
      </c>
      <c r="N32">
        <v>210.5</v>
      </c>
      <c r="O32">
        <v>176.9</v>
      </c>
      <c r="P32">
        <v>188.5</v>
      </c>
      <c r="Q32">
        <v>175</v>
      </c>
      <c r="R32" s="12">
        <f t="shared" si="1"/>
        <v>5.168269230769227E-2</v>
      </c>
      <c r="S32">
        <v>196.9</v>
      </c>
      <c r="T32">
        <v>189</v>
      </c>
      <c r="U32">
        <v>186.3</v>
      </c>
      <c r="V32">
        <v>188.6</v>
      </c>
      <c r="W32" t="s">
        <v>31</v>
      </c>
      <c r="X32">
        <v>183.2</v>
      </c>
      <c r="Y32" s="12">
        <f t="shared" si="2"/>
        <v>0.11571254567600488</v>
      </c>
      <c r="Z32">
        <v>177.2</v>
      </c>
      <c r="AA32">
        <v>184.7</v>
      </c>
      <c r="AB32" s="12">
        <f t="shared" si="3"/>
        <v>7.7596266044340625E-2</v>
      </c>
      <c r="AC32">
        <v>168.2</v>
      </c>
      <c r="AD32">
        <v>171.8</v>
      </c>
      <c r="AE32">
        <v>177.8</v>
      </c>
      <c r="AF32">
        <v>178.4</v>
      </c>
      <c r="AG32">
        <v>176.5</v>
      </c>
      <c r="AH32">
        <v>177.8</v>
      </c>
      <c r="AI32" s="11">
        <f t="shared" si="4"/>
        <v>7.3023536511768392E-2</v>
      </c>
    </row>
    <row r="33" spans="1:35" x14ac:dyDescent="0.25">
      <c r="A33" t="s">
        <v>32</v>
      </c>
      <c r="B33">
        <v>2023</v>
      </c>
      <c r="C33">
        <v>1</v>
      </c>
      <c r="D33" s="13">
        <f t="shared" si="0"/>
        <v>44927</v>
      </c>
      <c r="E33">
        <v>173.3</v>
      </c>
      <c r="F33">
        <v>215.2</v>
      </c>
      <c r="G33">
        <v>197</v>
      </c>
      <c r="H33">
        <v>175.2</v>
      </c>
      <c r="I33">
        <v>178</v>
      </c>
      <c r="J33">
        <v>160.5</v>
      </c>
      <c r="K33">
        <v>175.3</v>
      </c>
      <c r="L33">
        <v>171.2</v>
      </c>
      <c r="M33">
        <v>122.7</v>
      </c>
      <c r="N33">
        <v>204.3</v>
      </c>
      <c r="O33">
        <v>163.69999999999999</v>
      </c>
      <c r="P33">
        <v>194.3</v>
      </c>
      <c r="Q33">
        <v>179.5</v>
      </c>
      <c r="R33" s="12">
        <f t="shared" si="1"/>
        <v>2.5714285714285714E-2</v>
      </c>
      <c r="S33">
        <v>201.6</v>
      </c>
      <c r="T33">
        <v>178.7</v>
      </c>
      <c r="U33">
        <v>165.3</v>
      </c>
      <c r="V33">
        <v>176.6</v>
      </c>
      <c r="W33">
        <v>172.1</v>
      </c>
      <c r="X33">
        <v>180.1</v>
      </c>
      <c r="Y33" s="12">
        <f t="shared" si="2"/>
        <v>-1.6921397379912634E-2</v>
      </c>
      <c r="Z33">
        <v>168</v>
      </c>
      <c r="AA33">
        <v>178.5</v>
      </c>
      <c r="AB33" s="12">
        <f t="shared" si="3"/>
        <v>-3.3567948023822354E-2</v>
      </c>
      <c r="AC33">
        <v>159.5</v>
      </c>
      <c r="AD33">
        <v>167.8</v>
      </c>
      <c r="AE33">
        <v>171.8</v>
      </c>
      <c r="AF33">
        <v>178.8</v>
      </c>
      <c r="AG33">
        <v>168.9</v>
      </c>
      <c r="AH33">
        <v>174.9</v>
      </c>
      <c r="AI33" s="11">
        <f t="shared" si="4"/>
        <v>-1.6310461192350988E-2</v>
      </c>
    </row>
    <row r="34" spans="1:35" x14ac:dyDescent="0.25">
      <c r="A34" t="s">
        <v>33</v>
      </c>
      <c r="B34">
        <v>2023</v>
      </c>
      <c r="C34">
        <v>1</v>
      </c>
      <c r="D34" s="13">
        <f t="shared" si="0"/>
        <v>44927</v>
      </c>
      <c r="E34">
        <v>173.8</v>
      </c>
      <c r="F34">
        <v>210.7</v>
      </c>
      <c r="G34">
        <v>194.5</v>
      </c>
      <c r="H34">
        <v>174.6</v>
      </c>
      <c r="I34">
        <v>187.2</v>
      </c>
      <c r="J34">
        <v>158.30000000000001</v>
      </c>
      <c r="K34">
        <v>153.9</v>
      </c>
      <c r="L34">
        <v>170.9</v>
      </c>
      <c r="M34">
        <v>121.1</v>
      </c>
      <c r="N34">
        <v>208.4</v>
      </c>
      <c r="O34">
        <v>171.4</v>
      </c>
      <c r="P34">
        <v>191.2</v>
      </c>
      <c r="Q34">
        <v>176.7</v>
      </c>
      <c r="R34" s="12">
        <f t="shared" si="1"/>
        <v>-1.559888579387193E-2</v>
      </c>
      <c r="S34">
        <v>198.2</v>
      </c>
      <c r="T34">
        <v>184.9</v>
      </c>
      <c r="U34">
        <v>177.6</v>
      </c>
      <c r="V34">
        <v>183.8</v>
      </c>
      <c r="W34">
        <v>172.1</v>
      </c>
      <c r="X34">
        <v>182</v>
      </c>
      <c r="Y34" s="12">
        <f t="shared" si="2"/>
        <v>1.0549694614103308E-2</v>
      </c>
      <c r="Z34">
        <v>172.9</v>
      </c>
      <c r="AA34">
        <v>182.3</v>
      </c>
      <c r="AB34" s="12">
        <f t="shared" si="3"/>
        <v>2.1288515406162528E-2</v>
      </c>
      <c r="AC34">
        <v>163.6</v>
      </c>
      <c r="AD34">
        <v>169.5</v>
      </c>
      <c r="AE34">
        <v>174.3</v>
      </c>
      <c r="AF34">
        <v>178.6</v>
      </c>
      <c r="AG34">
        <v>172.8</v>
      </c>
      <c r="AH34">
        <v>176.5</v>
      </c>
      <c r="AI34" s="11">
        <f t="shared" si="4"/>
        <v>9.1480846197826999E-3</v>
      </c>
    </row>
    <row r="35" spans="1:35" x14ac:dyDescent="0.25">
      <c r="A35" t="s">
        <v>30</v>
      </c>
      <c r="B35">
        <v>2013</v>
      </c>
      <c r="C35">
        <v>2</v>
      </c>
      <c r="D35" s="13">
        <f t="shared" si="0"/>
        <v>41306</v>
      </c>
      <c r="E35">
        <v>109.2</v>
      </c>
      <c r="F35">
        <v>108.7</v>
      </c>
      <c r="G35">
        <v>110.2</v>
      </c>
      <c r="H35">
        <v>105.4</v>
      </c>
      <c r="I35">
        <v>106.7</v>
      </c>
      <c r="J35">
        <v>104</v>
      </c>
      <c r="K35">
        <v>102.4</v>
      </c>
      <c r="L35">
        <v>105.9</v>
      </c>
      <c r="M35">
        <v>105.7</v>
      </c>
      <c r="N35">
        <v>103.1</v>
      </c>
      <c r="O35">
        <v>105.1</v>
      </c>
      <c r="P35">
        <v>107.7</v>
      </c>
      <c r="Q35">
        <v>106.3</v>
      </c>
      <c r="R35" s="12">
        <f t="shared" si="1"/>
        <v>-0.3984153933220147</v>
      </c>
      <c r="S35">
        <v>105.6</v>
      </c>
      <c r="T35">
        <v>107.1</v>
      </c>
      <c r="U35">
        <v>106.3</v>
      </c>
      <c r="V35">
        <v>107</v>
      </c>
      <c r="W35" t="s">
        <v>31</v>
      </c>
      <c r="X35">
        <v>106.2</v>
      </c>
      <c r="Y35" s="12">
        <f t="shared" si="2"/>
        <v>-0.41648351648351645</v>
      </c>
      <c r="Z35">
        <v>105.2</v>
      </c>
      <c r="AA35">
        <v>104.4</v>
      </c>
      <c r="AB35" s="12">
        <f t="shared" si="3"/>
        <v>-0.42731760833790455</v>
      </c>
      <c r="AC35">
        <v>103.9</v>
      </c>
      <c r="AD35">
        <v>104</v>
      </c>
      <c r="AE35">
        <v>104.1</v>
      </c>
      <c r="AF35">
        <v>104.6</v>
      </c>
      <c r="AG35">
        <v>104.4</v>
      </c>
      <c r="AH35">
        <v>105.8</v>
      </c>
      <c r="AI35" s="11">
        <f t="shared" si="4"/>
        <v>-0.40056657223796038</v>
      </c>
    </row>
    <row r="36" spans="1:35" x14ac:dyDescent="0.25">
      <c r="A36" t="s">
        <v>32</v>
      </c>
      <c r="B36">
        <v>2013</v>
      </c>
      <c r="C36">
        <v>2</v>
      </c>
      <c r="D36" s="13">
        <f t="shared" si="0"/>
        <v>41306</v>
      </c>
      <c r="E36">
        <v>112.9</v>
      </c>
      <c r="F36">
        <v>112.9</v>
      </c>
      <c r="G36">
        <v>116.9</v>
      </c>
      <c r="H36">
        <v>104</v>
      </c>
      <c r="I36">
        <v>103.5</v>
      </c>
      <c r="J36">
        <v>103.1</v>
      </c>
      <c r="K36">
        <v>104.9</v>
      </c>
      <c r="L36">
        <v>104.1</v>
      </c>
      <c r="M36">
        <v>103.8</v>
      </c>
      <c r="N36">
        <v>102.3</v>
      </c>
      <c r="O36">
        <v>106</v>
      </c>
      <c r="P36">
        <v>109</v>
      </c>
      <c r="Q36">
        <v>107.2</v>
      </c>
      <c r="R36" s="12">
        <f t="shared" si="1"/>
        <v>8.4666039510818969E-3</v>
      </c>
      <c r="S36">
        <v>106</v>
      </c>
      <c r="T36">
        <v>106.6</v>
      </c>
      <c r="U36">
        <v>105.5</v>
      </c>
      <c r="V36">
        <v>106.4</v>
      </c>
      <c r="W36">
        <v>100.4</v>
      </c>
      <c r="X36">
        <v>105.7</v>
      </c>
      <c r="Y36" s="12">
        <f t="shared" si="2"/>
        <v>-4.7080979284369112E-3</v>
      </c>
      <c r="Z36">
        <v>105.2</v>
      </c>
      <c r="AA36">
        <v>104.7</v>
      </c>
      <c r="AB36" s="12">
        <f t="shared" si="3"/>
        <v>2.8735632183907772E-3</v>
      </c>
      <c r="AC36">
        <v>104.4</v>
      </c>
      <c r="AD36">
        <v>103.3</v>
      </c>
      <c r="AE36">
        <v>103.7</v>
      </c>
      <c r="AF36">
        <v>104.3</v>
      </c>
      <c r="AG36">
        <v>104.3</v>
      </c>
      <c r="AH36">
        <v>104.7</v>
      </c>
      <c r="AI36" s="11">
        <f t="shared" si="4"/>
        <v>-1.0396975425330759E-2</v>
      </c>
    </row>
    <row r="37" spans="1:35" x14ac:dyDescent="0.25">
      <c r="A37" t="s">
        <v>33</v>
      </c>
      <c r="B37">
        <v>2013</v>
      </c>
      <c r="C37">
        <v>2</v>
      </c>
      <c r="D37" s="13">
        <f t="shared" si="0"/>
        <v>41306</v>
      </c>
      <c r="E37">
        <v>110.4</v>
      </c>
      <c r="F37">
        <v>110.2</v>
      </c>
      <c r="G37">
        <v>112.8</v>
      </c>
      <c r="H37">
        <v>104.9</v>
      </c>
      <c r="I37">
        <v>105.5</v>
      </c>
      <c r="J37">
        <v>103.6</v>
      </c>
      <c r="K37">
        <v>103.2</v>
      </c>
      <c r="L37">
        <v>105.3</v>
      </c>
      <c r="M37">
        <v>105.1</v>
      </c>
      <c r="N37">
        <v>102.8</v>
      </c>
      <c r="O37">
        <v>105.5</v>
      </c>
      <c r="P37">
        <v>108.3</v>
      </c>
      <c r="Q37">
        <v>106.6</v>
      </c>
      <c r="R37" s="12">
        <f t="shared" si="1"/>
        <v>-5.5970149253732138E-3</v>
      </c>
      <c r="S37">
        <v>105.7</v>
      </c>
      <c r="T37">
        <v>106.9</v>
      </c>
      <c r="U37">
        <v>106</v>
      </c>
      <c r="V37">
        <v>106.8</v>
      </c>
      <c r="W37">
        <v>100.4</v>
      </c>
      <c r="X37">
        <v>106</v>
      </c>
      <c r="Y37" s="12">
        <f t="shared" si="2"/>
        <v>2.838221381267712E-3</v>
      </c>
      <c r="Z37">
        <v>105.2</v>
      </c>
      <c r="AA37">
        <v>104.5</v>
      </c>
      <c r="AB37" s="12">
        <f t="shared" si="3"/>
        <v>-1.9102196752626823E-3</v>
      </c>
      <c r="AC37">
        <v>104.2</v>
      </c>
      <c r="AD37">
        <v>103.6</v>
      </c>
      <c r="AE37">
        <v>103.9</v>
      </c>
      <c r="AF37">
        <v>104.5</v>
      </c>
      <c r="AG37">
        <v>104.4</v>
      </c>
      <c r="AH37">
        <v>105.3</v>
      </c>
      <c r="AI37" s="11">
        <f t="shared" si="4"/>
        <v>5.7306590257879108E-3</v>
      </c>
    </row>
    <row r="38" spans="1:35" x14ac:dyDescent="0.25">
      <c r="A38" t="s">
        <v>30</v>
      </c>
      <c r="B38">
        <v>2014</v>
      </c>
      <c r="C38">
        <v>2</v>
      </c>
      <c r="D38" s="13">
        <f t="shared" si="0"/>
        <v>41671</v>
      </c>
      <c r="E38">
        <v>119.4</v>
      </c>
      <c r="F38">
        <v>117.7</v>
      </c>
      <c r="G38">
        <v>121.2</v>
      </c>
      <c r="H38">
        <v>115</v>
      </c>
      <c r="I38">
        <v>109</v>
      </c>
      <c r="J38">
        <v>116.6</v>
      </c>
      <c r="K38">
        <v>116</v>
      </c>
      <c r="L38">
        <v>109.8</v>
      </c>
      <c r="M38">
        <v>101.1</v>
      </c>
      <c r="N38">
        <v>110.4</v>
      </c>
      <c r="O38">
        <v>112.9</v>
      </c>
      <c r="P38">
        <v>117.8</v>
      </c>
      <c r="Q38">
        <v>115.3</v>
      </c>
      <c r="R38" s="12">
        <f t="shared" si="1"/>
        <v>8.1613508442776761E-2</v>
      </c>
      <c r="S38">
        <v>114.2</v>
      </c>
      <c r="T38">
        <v>117.1</v>
      </c>
      <c r="U38">
        <v>114.5</v>
      </c>
      <c r="V38">
        <v>116.7</v>
      </c>
      <c r="W38" t="s">
        <v>31</v>
      </c>
      <c r="X38">
        <v>113.2</v>
      </c>
      <c r="Y38" s="12">
        <f t="shared" si="2"/>
        <v>6.7924528301886819E-2</v>
      </c>
      <c r="Z38">
        <v>112.9</v>
      </c>
      <c r="AA38">
        <v>110.9</v>
      </c>
      <c r="AB38" s="12">
        <f t="shared" si="3"/>
        <v>6.1244019138756038E-2</v>
      </c>
      <c r="AC38">
        <v>110.8</v>
      </c>
      <c r="AD38">
        <v>109.9</v>
      </c>
      <c r="AE38">
        <v>112</v>
      </c>
      <c r="AF38">
        <v>108.7</v>
      </c>
      <c r="AG38">
        <v>110.9</v>
      </c>
      <c r="AH38">
        <v>114</v>
      </c>
      <c r="AI38" s="11">
        <f t="shared" si="4"/>
        <v>8.2621082621082656E-2</v>
      </c>
    </row>
    <row r="39" spans="1:35" x14ac:dyDescent="0.25">
      <c r="A39" t="s">
        <v>32</v>
      </c>
      <c r="B39">
        <v>2014</v>
      </c>
      <c r="C39">
        <v>2</v>
      </c>
      <c r="D39" s="13">
        <f t="shared" si="0"/>
        <v>41671</v>
      </c>
      <c r="E39">
        <v>121.9</v>
      </c>
      <c r="F39">
        <v>122</v>
      </c>
      <c r="G39">
        <v>124.5</v>
      </c>
      <c r="H39">
        <v>115.2</v>
      </c>
      <c r="I39">
        <v>102.5</v>
      </c>
      <c r="J39">
        <v>114.1</v>
      </c>
      <c r="K39">
        <v>111.5</v>
      </c>
      <c r="L39">
        <v>108.2</v>
      </c>
      <c r="M39">
        <v>95.4</v>
      </c>
      <c r="N39">
        <v>113.5</v>
      </c>
      <c r="O39">
        <v>112.1</v>
      </c>
      <c r="P39">
        <v>119.9</v>
      </c>
      <c r="Q39">
        <v>115.2</v>
      </c>
      <c r="R39" s="12">
        <f t="shared" si="1"/>
        <v>-8.6730268863828553E-4</v>
      </c>
      <c r="S39">
        <v>116.2</v>
      </c>
      <c r="T39">
        <v>115.3</v>
      </c>
      <c r="U39">
        <v>111.7</v>
      </c>
      <c r="V39">
        <v>114.7</v>
      </c>
      <c r="W39">
        <v>112.5</v>
      </c>
      <c r="X39">
        <v>111.1</v>
      </c>
      <c r="Y39" s="12">
        <f t="shared" si="2"/>
        <v>-1.8551236749116684E-2</v>
      </c>
      <c r="Z39">
        <v>112.6</v>
      </c>
      <c r="AA39">
        <v>110.4</v>
      </c>
      <c r="AB39" s="12">
        <f t="shared" si="3"/>
        <v>-4.508566275924256E-3</v>
      </c>
      <c r="AC39">
        <v>111.3</v>
      </c>
      <c r="AD39">
        <v>110.3</v>
      </c>
      <c r="AE39">
        <v>111.6</v>
      </c>
      <c r="AF39">
        <v>108.7</v>
      </c>
      <c r="AG39">
        <v>111</v>
      </c>
      <c r="AH39">
        <v>113.1</v>
      </c>
      <c r="AI39" s="11">
        <f t="shared" si="4"/>
        <v>-7.8947368421053137E-3</v>
      </c>
    </row>
    <row r="40" spans="1:35" x14ac:dyDescent="0.25">
      <c r="A40" t="s">
        <v>33</v>
      </c>
      <c r="B40">
        <v>2014</v>
      </c>
      <c r="C40">
        <v>2</v>
      </c>
      <c r="D40" s="13">
        <f t="shared" si="0"/>
        <v>41671</v>
      </c>
      <c r="E40">
        <v>120.2</v>
      </c>
      <c r="F40">
        <v>119.2</v>
      </c>
      <c r="G40">
        <v>122.5</v>
      </c>
      <c r="H40">
        <v>115.1</v>
      </c>
      <c r="I40">
        <v>106.6</v>
      </c>
      <c r="J40">
        <v>115.4</v>
      </c>
      <c r="K40">
        <v>114.5</v>
      </c>
      <c r="L40">
        <v>109.3</v>
      </c>
      <c r="M40">
        <v>99.2</v>
      </c>
      <c r="N40">
        <v>111.4</v>
      </c>
      <c r="O40">
        <v>112.6</v>
      </c>
      <c r="P40">
        <v>118.8</v>
      </c>
      <c r="Q40">
        <v>115.3</v>
      </c>
      <c r="R40" s="12">
        <f t="shared" si="1"/>
        <v>8.6805555555550618E-4</v>
      </c>
      <c r="S40">
        <v>114.7</v>
      </c>
      <c r="T40">
        <v>116.4</v>
      </c>
      <c r="U40">
        <v>113.3</v>
      </c>
      <c r="V40">
        <v>115.9</v>
      </c>
      <c r="W40">
        <v>112.5</v>
      </c>
      <c r="X40">
        <v>112.4</v>
      </c>
      <c r="Y40" s="12">
        <f t="shared" si="2"/>
        <v>1.1701170117011803E-2</v>
      </c>
      <c r="Z40">
        <v>112.8</v>
      </c>
      <c r="AA40">
        <v>110.7</v>
      </c>
      <c r="AB40" s="12">
        <f t="shared" si="3"/>
        <v>2.7173913043478E-3</v>
      </c>
      <c r="AC40">
        <v>111.1</v>
      </c>
      <c r="AD40">
        <v>110.1</v>
      </c>
      <c r="AE40">
        <v>111.8</v>
      </c>
      <c r="AF40">
        <v>108.7</v>
      </c>
      <c r="AG40">
        <v>110.9</v>
      </c>
      <c r="AH40">
        <v>113.6</v>
      </c>
      <c r="AI40" s="11">
        <f t="shared" si="4"/>
        <v>4.4208664898320073E-3</v>
      </c>
    </row>
    <row r="41" spans="1:35" x14ac:dyDescent="0.25">
      <c r="A41" t="s">
        <v>30</v>
      </c>
      <c r="B41">
        <v>2015</v>
      </c>
      <c r="C41">
        <v>2</v>
      </c>
      <c r="D41" s="13">
        <f t="shared" si="0"/>
        <v>42036</v>
      </c>
      <c r="E41">
        <v>123.4</v>
      </c>
      <c r="F41">
        <v>124.4</v>
      </c>
      <c r="G41">
        <v>122.1</v>
      </c>
      <c r="H41">
        <v>125.8</v>
      </c>
      <c r="I41">
        <v>111.5</v>
      </c>
      <c r="J41">
        <v>129.4</v>
      </c>
      <c r="K41">
        <v>128.19999999999999</v>
      </c>
      <c r="L41">
        <v>118.8</v>
      </c>
      <c r="M41">
        <v>100</v>
      </c>
      <c r="N41">
        <v>118.6</v>
      </c>
      <c r="O41">
        <v>118.8</v>
      </c>
      <c r="P41">
        <v>126.8</v>
      </c>
      <c r="Q41">
        <v>122.8</v>
      </c>
      <c r="R41" s="12">
        <f t="shared" si="1"/>
        <v>6.5047701647875114E-2</v>
      </c>
      <c r="S41">
        <v>124.2</v>
      </c>
      <c r="T41">
        <v>125.4</v>
      </c>
      <c r="U41">
        <v>122.7</v>
      </c>
      <c r="V41">
        <v>125</v>
      </c>
      <c r="W41" t="s">
        <v>31</v>
      </c>
      <c r="X41">
        <v>120</v>
      </c>
      <c r="Y41" s="12">
        <f t="shared" si="2"/>
        <v>6.7615658362989273E-2</v>
      </c>
      <c r="Z41">
        <v>119.6</v>
      </c>
      <c r="AA41">
        <v>117.7</v>
      </c>
      <c r="AB41" s="12">
        <f t="shared" si="3"/>
        <v>6.3233965672990056E-2</v>
      </c>
      <c r="AC41">
        <v>110.9</v>
      </c>
      <c r="AD41">
        <v>114.8</v>
      </c>
      <c r="AE41">
        <v>118.7</v>
      </c>
      <c r="AF41">
        <v>110.8</v>
      </c>
      <c r="AG41">
        <v>115</v>
      </c>
      <c r="AH41">
        <v>120.6</v>
      </c>
      <c r="AI41" s="11">
        <f t="shared" si="4"/>
        <v>6.1619718309859156E-2</v>
      </c>
    </row>
    <row r="42" spans="1:35" x14ac:dyDescent="0.25">
      <c r="A42" t="s">
        <v>32</v>
      </c>
      <c r="B42">
        <v>2015</v>
      </c>
      <c r="C42">
        <v>2</v>
      </c>
      <c r="D42" s="13">
        <f t="shared" si="0"/>
        <v>42036</v>
      </c>
      <c r="E42">
        <v>124.3</v>
      </c>
      <c r="F42">
        <v>126.5</v>
      </c>
      <c r="G42">
        <v>119.5</v>
      </c>
      <c r="H42">
        <v>125.6</v>
      </c>
      <c r="I42">
        <v>104.9</v>
      </c>
      <c r="J42">
        <v>121.6</v>
      </c>
      <c r="K42">
        <v>131.80000000000001</v>
      </c>
      <c r="L42">
        <v>125.1</v>
      </c>
      <c r="M42">
        <v>95</v>
      </c>
      <c r="N42">
        <v>127.7</v>
      </c>
      <c r="O42">
        <v>116.8</v>
      </c>
      <c r="P42">
        <v>128.6</v>
      </c>
      <c r="Q42">
        <v>123.7</v>
      </c>
      <c r="R42" s="12">
        <f t="shared" si="1"/>
        <v>7.3289902280130759E-3</v>
      </c>
      <c r="S42">
        <v>128.1</v>
      </c>
      <c r="T42">
        <v>121.3</v>
      </c>
      <c r="U42">
        <v>116.5</v>
      </c>
      <c r="V42">
        <v>120.6</v>
      </c>
      <c r="W42">
        <v>118.1</v>
      </c>
      <c r="X42">
        <v>114</v>
      </c>
      <c r="Y42" s="12">
        <f t="shared" si="2"/>
        <v>-0.05</v>
      </c>
      <c r="Z42">
        <v>117.7</v>
      </c>
      <c r="AA42">
        <v>114.1</v>
      </c>
      <c r="AB42" s="12">
        <f t="shared" si="3"/>
        <v>-3.0586236193712903E-2</v>
      </c>
      <c r="AC42">
        <v>106.8</v>
      </c>
      <c r="AD42">
        <v>114.9</v>
      </c>
      <c r="AE42">
        <v>120.4</v>
      </c>
      <c r="AF42">
        <v>111.7</v>
      </c>
      <c r="AG42">
        <v>113.2</v>
      </c>
      <c r="AH42">
        <v>118.7</v>
      </c>
      <c r="AI42" s="11">
        <f t="shared" si="4"/>
        <v>-1.5754560530679865E-2</v>
      </c>
    </row>
    <row r="43" spans="1:35" x14ac:dyDescent="0.25">
      <c r="A43" t="s">
        <v>33</v>
      </c>
      <c r="B43">
        <v>2015</v>
      </c>
      <c r="C43">
        <v>2</v>
      </c>
      <c r="D43" s="13">
        <f t="shared" si="0"/>
        <v>42036</v>
      </c>
      <c r="E43">
        <v>123.7</v>
      </c>
      <c r="F43">
        <v>125.1</v>
      </c>
      <c r="G43">
        <v>121.1</v>
      </c>
      <c r="H43">
        <v>125.7</v>
      </c>
      <c r="I43">
        <v>109.1</v>
      </c>
      <c r="J43">
        <v>125.8</v>
      </c>
      <c r="K43">
        <v>129.4</v>
      </c>
      <c r="L43">
        <v>120.9</v>
      </c>
      <c r="M43">
        <v>98.3</v>
      </c>
      <c r="N43">
        <v>121.6</v>
      </c>
      <c r="O43">
        <v>118</v>
      </c>
      <c r="P43">
        <v>127.6</v>
      </c>
      <c r="Q43">
        <v>123.1</v>
      </c>
      <c r="R43" s="12">
        <f t="shared" si="1"/>
        <v>-4.8504446240906106E-3</v>
      </c>
      <c r="S43">
        <v>125.2</v>
      </c>
      <c r="T43">
        <v>123.8</v>
      </c>
      <c r="U43">
        <v>120.1</v>
      </c>
      <c r="V43">
        <v>123.3</v>
      </c>
      <c r="W43">
        <v>118.1</v>
      </c>
      <c r="X43">
        <v>117.7</v>
      </c>
      <c r="Y43" s="12">
        <f t="shared" si="2"/>
        <v>3.2456140350877218E-2</v>
      </c>
      <c r="Z43">
        <v>118.7</v>
      </c>
      <c r="AA43">
        <v>116.3</v>
      </c>
      <c r="AB43" s="12">
        <f t="shared" si="3"/>
        <v>1.9281332164767774E-2</v>
      </c>
      <c r="AC43">
        <v>108.7</v>
      </c>
      <c r="AD43">
        <v>114.9</v>
      </c>
      <c r="AE43">
        <v>119.7</v>
      </c>
      <c r="AF43">
        <v>111.2</v>
      </c>
      <c r="AG43">
        <v>114.1</v>
      </c>
      <c r="AH43">
        <v>119.7</v>
      </c>
      <c r="AI43" s="11">
        <f t="shared" si="4"/>
        <v>8.4245998315080027E-3</v>
      </c>
    </row>
    <row r="44" spans="1:35" x14ac:dyDescent="0.25">
      <c r="A44" t="s">
        <v>30</v>
      </c>
      <c r="B44">
        <v>2016</v>
      </c>
      <c r="C44">
        <v>2</v>
      </c>
      <c r="D44" s="13">
        <f t="shared" si="0"/>
        <v>42401</v>
      </c>
      <c r="E44">
        <v>127.1</v>
      </c>
      <c r="F44">
        <v>133.69999999999999</v>
      </c>
      <c r="G44">
        <v>127.7</v>
      </c>
      <c r="H44">
        <v>130.69999999999999</v>
      </c>
      <c r="I44">
        <v>118.5</v>
      </c>
      <c r="J44">
        <v>130.4</v>
      </c>
      <c r="K44">
        <v>130.9</v>
      </c>
      <c r="L44">
        <v>162.80000000000001</v>
      </c>
      <c r="M44">
        <v>98.7</v>
      </c>
      <c r="N44">
        <v>130.6</v>
      </c>
      <c r="O44">
        <v>124.8</v>
      </c>
      <c r="P44">
        <v>136.4</v>
      </c>
      <c r="Q44">
        <v>130.30000000000001</v>
      </c>
      <c r="R44" s="12">
        <f t="shared" si="1"/>
        <v>5.8489033306255218E-2</v>
      </c>
      <c r="S44">
        <v>134.4</v>
      </c>
      <c r="T44">
        <v>133.9</v>
      </c>
      <c r="U44">
        <v>129.80000000000001</v>
      </c>
      <c r="V44">
        <v>133.4</v>
      </c>
      <c r="W44" t="s">
        <v>31</v>
      </c>
      <c r="X44">
        <v>127.5</v>
      </c>
      <c r="Y44" s="12">
        <f t="shared" si="2"/>
        <v>8.3262531860662681E-2</v>
      </c>
      <c r="Z44">
        <v>127.1</v>
      </c>
      <c r="AA44">
        <v>124.3</v>
      </c>
      <c r="AB44" s="12">
        <f t="shared" si="3"/>
        <v>6.878761822871883E-2</v>
      </c>
      <c r="AC44">
        <v>113.9</v>
      </c>
      <c r="AD44">
        <v>122.3</v>
      </c>
      <c r="AE44">
        <v>127.1</v>
      </c>
      <c r="AF44">
        <v>116.8</v>
      </c>
      <c r="AG44">
        <v>120.9</v>
      </c>
      <c r="AH44">
        <v>127.9</v>
      </c>
      <c r="AI44" s="11">
        <f t="shared" si="4"/>
        <v>6.8504594820384318E-2</v>
      </c>
    </row>
    <row r="45" spans="1:35" x14ac:dyDescent="0.25">
      <c r="A45" t="s">
        <v>32</v>
      </c>
      <c r="B45">
        <v>2016</v>
      </c>
      <c r="C45">
        <v>2</v>
      </c>
      <c r="D45" s="13">
        <f t="shared" si="0"/>
        <v>42401</v>
      </c>
      <c r="E45">
        <v>124.8</v>
      </c>
      <c r="F45">
        <v>135.1</v>
      </c>
      <c r="G45">
        <v>130.30000000000001</v>
      </c>
      <c r="H45">
        <v>129.6</v>
      </c>
      <c r="I45">
        <v>108.4</v>
      </c>
      <c r="J45">
        <v>118.6</v>
      </c>
      <c r="K45">
        <v>129.19999999999999</v>
      </c>
      <c r="L45">
        <v>176.4</v>
      </c>
      <c r="M45">
        <v>99.1</v>
      </c>
      <c r="N45">
        <v>139.69999999999999</v>
      </c>
      <c r="O45">
        <v>120.6</v>
      </c>
      <c r="P45">
        <v>135.19999999999999</v>
      </c>
      <c r="Q45">
        <v>129.1</v>
      </c>
      <c r="R45" s="12">
        <f t="shared" si="1"/>
        <v>-9.2095165003838603E-3</v>
      </c>
      <c r="S45">
        <v>140</v>
      </c>
      <c r="T45">
        <v>126.2</v>
      </c>
      <c r="U45">
        <v>120.1</v>
      </c>
      <c r="V45">
        <v>125.3</v>
      </c>
      <c r="W45">
        <v>124.4</v>
      </c>
      <c r="X45">
        <v>116</v>
      </c>
      <c r="Y45" s="12">
        <f t="shared" si="2"/>
        <v>-9.0196078431372548E-2</v>
      </c>
      <c r="Z45">
        <v>121.8</v>
      </c>
      <c r="AA45">
        <v>119.5</v>
      </c>
      <c r="AB45" s="12">
        <f t="shared" si="3"/>
        <v>-3.8616251005631513E-2</v>
      </c>
      <c r="AC45">
        <v>109.1</v>
      </c>
      <c r="AD45">
        <v>118.8</v>
      </c>
      <c r="AE45">
        <v>126.3</v>
      </c>
      <c r="AF45">
        <v>116.2</v>
      </c>
      <c r="AG45">
        <v>117.2</v>
      </c>
      <c r="AH45">
        <v>123.8</v>
      </c>
      <c r="AI45" s="11">
        <f t="shared" si="4"/>
        <v>-3.2056293979671684E-2</v>
      </c>
    </row>
    <row r="46" spans="1:35" x14ac:dyDescent="0.25">
      <c r="A46" t="s">
        <v>33</v>
      </c>
      <c r="B46">
        <v>2016</v>
      </c>
      <c r="C46">
        <v>2</v>
      </c>
      <c r="D46" s="13">
        <f t="shared" si="0"/>
        <v>42401</v>
      </c>
      <c r="E46">
        <v>126.4</v>
      </c>
      <c r="F46">
        <v>134.19999999999999</v>
      </c>
      <c r="G46">
        <v>128.69999999999999</v>
      </c>
      <c r="H46">
        <v>130.30000000000001</v>
      </c>
      <c r="I46">
        <v>114.8</v>
      </c>
      <c r="J46">
        <v>124.9</v>
      </c>
      <c r="K46">
        <v>130.30000000000001</v>
      </c>
      <c r="L46">
        <v>167.4</v>
      </c>
      <c r="M46">
        <v>98.8</v>
      </c>
      <c r="N46">
        <v>133.6</v>
      </c>
      <c r="O46">
        <v>123</v>
      </c>
      <c r="P46">
        <v>135.80000000000001</v>
      </c>
      <c r="Q46">
        <v>129.9</v>
      </c>
      <c r="R46" s="12">
        <f t="shared" si="1"/>
        <v>6.1967467079783994E-3</v>
      </c>
      <c r="S46">
        <v>135.9</v>
      </c>
      <c r="T46">
        <v>130.9</v>
      </c>
      <c r="U46">
        <v>125.8</v>
      </c>
      <c r="V46">
        <v>130.19999999999999</v>
      </c>
      <c r="W46">
        <v>124.4</v>
      </c>
      <c r="X46">
        <v>123.1</v>
      </c>
      <c r="Y46" s="12">
        <f t="shared" si="2"/>
        <v>6.1206896551724087E-2</v>
      </c>
      <c r="Z46">
        <v>124.6</v>
      </c>
      <c r="AA46">
        <v>122.5</v>
      </c>
      <c r="AB46" s="12">
        <f t="shared" si="3"/>
        <v>2.5104602510460251E-2</v>
      </c>
      <c r="AC46">
        <v>111.4</v>
      </c>
      <c r="AD46">
        <v>120.3</v>
      </c>
      <c r="AE46">
        <v>126.6</v>
      </c>
      <c r="AF46">
        <v>116.6</v>
      </c>
      <c r="AG46">
        <v>119.1</v>
      </c>
      <c r="AH46">
        <v>126</v>
      </c>
      <c r="AI46" s="11">
        <f t="shared" si="4"/>
        <v>1.7770597738287583E-2</v>
      </c>
    </row>
    <row r="47" spans="1:35" x14ac:dyDescent="0.25">
      <c r="A47" t="s">
        <v>30</v>
      </c>
      <c r="B47">
        <v>2017</v>
      </c>
      <c r="C47">
        <v>2</v>
      </c>
      <c r="D47" s="13">
        <f t="shared" si="0"/>
        <v>42767</v>
      </c>
      <c r="E47">
        <v>133.30000000000001</v>
      </c>
      <c r="F47">
        <v>138.30000000000001</v>
      </c>
      <c r="G47">
        <v>129.30000000000001</v>
      </c>
      <c r="H47">
        <v>137.19999999999999</v>
      </c>
      <c r="I47">
        <v>122.1</v>
      </c>
      <c r="J47">
        <v>138.69999999999999</v>
      </c>
      <c r="K47">
        <v>119.1</v>
      </c>
      <c r="L47">
        <v>156.9</v>
      </c>
      <c r="M47">
        <v>116.2</v>
      </c>
      <c r="N47">
        <v>136</v>
      </c>
      <c r="O47">
        <v>129.4</v>
      </c>
      <c r="P47">
        <v>144.4</v>
      </c>
      <c r="Q47">
        <v>133.6</v>
      </c>
      <c r="R47" s="12">
        <f t="shared" si="1"/>
        <v>2.8483448806774354E-2</v>
      </c>
      <c r="S47">
        <v>143.69999999999999</v>
      </c>
      <c r="T47">
        <v>140.9</v>
      </c>
      <c r="U47">
        <v>135.80000000000001</v>
      </c>
      <c r="V47">
        <v>140.19999999999999</v>
      </c>
      <c r="W47" t="s">
        <v>31</v>
      </c>
      <c r="X47">
        <v>133.19999999999999</v>
      </c>
      <c r="Y47" s="12">
        <f t="shared" si="2"/>
        <v>8.2047116165718886E-2</v>
      </c>
      <c r="Z47">
        <v>133.6</v>
      </c>
      <c r="AA47">
        <v>130.1</v>
      </c>
      <c r="AB47" s="12">
        <f t="shared" si="3"/>
        <v>6.2040816326530565E-2</v>
      </c>
      <c r="AC47">
        <v>119.5</v>
      </c>
      <c r="AD47">
        <v>127.7</v>
      </c>
      <c r="AE47">
        <v>134.9</v>
      </c>
      <c r="AF47">
        <v>123.2</v>
      </c>
      <c r="AG47">
        <v>127</v>
      </c>
      <c r="AH47">
        <v>132.6</v>
      </c>
      <c r="AI47" s="11">
        <f t="shared" si="4"/>
        <v>5.2380952380952334E-2</v>
      </c>
    </row>
    <row r="48" spans="1:35" x14ac:dyDescent="0.25">
      <c r="A48" t="s">
        <v>32</v>
      </c>
      <c r="B48">
        <v>2017</v>
      </c>
      <c r="C48">
        <v>2</v>
      </c>
      <c r="D48" s="13">
        <f t="shared" si="0"/>
        <v>42767</v>
      </c>
      <c r="E48">
        <v>132.80000000000001</v>
      </c>
      <c r="F48">
        <v>139.80000000000001</v>
      </c>
      <c r="G48">
        <v>129.30000000000001</v>
      </c>
      <c r="H48">
        <v>133.5</v>
      </c>
      <c r="I48">
        <v>114.3</v>
      </c>
      <c r="J48">
        <v>131.4</v>
      </c>
      <c r="K48">
        <v>120.2</v>
      </c>
      <c r="L48">
        <v>143.1</v>
      </c>
      <c r="M48">
        <v>119.5</v>
      </c>
      <c r="N48">
        <v>144</v>
      </c>
      <c r="O48">
        <v>123.4</v>
      </c>
      <c r="P48">
        <v>141.9</v>
      </c>
      <c r="Q48">
        <v>132.1</v>
      </c>
      <c r="R48" s="12">
        <f t="shared" si="1"/>
        <v>-1.1227544910179641E-2</v>
      </c>
      <c r="S48">
        <v>146.30000000000001</v>
      </c>
      <c r="T48">
        <v>130.5</v>
      </c>
      <c r="U48">
        <v>122.5</v>
      </c>
      <c r="V48">
        <v>129.30000000000001</v>
      </c>
      <c r="W48">
        <v>130.5</v>
      </c>
      <c r="X48">
        <v>119.2</v>
      </c>
      <c r="Y48" s="12">
        <f t="shared" si="2"/>
        <v>-0.10510510510510501</v>
      </c>
      <c r="Z48">
        <v>125.3</v>
      </c>
      <c r="AA48">
        <v>122.9</v>
      </c>
      <c r="AB48" s="12">
        <f t="shared" si="3"/>
        <v>-5.5342044581091383E-2</v>
      </c>
      <c r="AC48">
        <v>115.5</v>
      </c>
      <c r="AD48">
        <v>122.2</v>
      </c>
      <c r="AE48">
        <v>132.4</v>
      </c>
      <c r="AF48">
        <v>121.7</v>
      </c>
      <c r="AG48">
        <v>122.4</v>
      </c>
      <c r="AH48">
        <v>128.19999999999999</v>
      </c>
      <c r="AI48" s="11">
        <f t="shared" si="4"/>
        <v>-3.3182503770739107E-2</v>
      </c>
    </row>
    <row r="49" spans="1:35" x14ac:dyDescent="0.25">
      <c r="A49" t="s">
        <v>33</v>
      </c>
      <c r="B49">
        <v>2017</v>
      </c>
      <c r="C49">
        <v>2</v>
      </c>
      <c r="D49" s="13">
        <f t="shared" si="0"/>
        <v>42767</v>
      </c>
      <c r="E49">
        <v>133.1</v>
      </c>
      <c r="F49">
        <v>138.80000000000001</v>
      </c>
      <c r="G49">
        <v>129.30000000000001</v>
      </c>
      <c r="H49">
        <v>135.80000000000001</v>
      </c>
      <c r="I49">
        <v>119.2</v>
      </c>
      <c r="J49">
        <v>135.30000000000001</v>
      </c>
      <c r="K49">
        <v>119.5</v>
      </c>
      <c r="L49">
        <v>152.19999999999999</v>
      </c>
      <c r="M49">
        <v>117.3</v>
      </c>
      <c r="N49">
        <v>138.69999999999999</v>
      </c>
      <c r="O49">
        <v>126.9</v>
      </c>
      <c r="P49">
        <v>143.19999999999999</v>
      </c>
      <c r="Q49">
        <v>133</v>
      </c>
      <c r="R49" s="12">
        <f t="shared" si="1"/>
        <v>6.8130204390613605E-3</v>
      </c>
      <c r="S49">
        <v>144.4</v>
      </c>
      <c r="T49">
        <v>136.80000000000001</v>
      </c>
      <c r="U49">
        <v>130.30000000000001</v>
      </c>
      <c r="V49">
        <v>135.9</v>
      </c>
      <c r="W49">
        <v>130.5</v>
      </c>
      <c r="X49">
        <v>127.9</v>
      </c>
      <c r="Y49" s="12">
        <f t="shared" si="2"/>
        <v>7.2986577181208073E-2</v>
      </c>
      <c r="Z49">
        <v>129.69999999999999</v>
      </c>
      <c r="AA49">
        <v>127.4</v>
      </c>
      <c r="AB49" s="12">
        <f t="shared" si="3"/>
        <v>3.6615134255492267E-2</v>
      </c>
      <c r="AC49">
        <v>117.4</v>
      </c>
      <c r="AD49">
        <v>124.6</v>
      </c>
      <c r="AE49">
        <v>133.4</v>
      </c>
      <c r="AF49">
        <v>122.6</v>
      </c>
      <c r="AG49">
        <v>124.8</v>
      </c>
      <c r="AH49">
        <v>130.6</v>
      </c>
      <c r="AI49" s="11">
        <f t="shared" si="4"/>
        <v>1.8720748829953244E-2</v>
      </c>
    </row>
    <row r="50" spans="1:35" x14ac:dyDescent="0.25">
      <c r="A50" t="s">
        <v>30</v>
      </c>
      <c r="B50">
        <v>2018</v>
      </c>
      <c r="C50">
        <v>2</v>
      </c>
      <c r="D50" s="13">
        <f t="shared" si="0"/>
        <v>43132</v>
      </c>
      <c r="E50">
        <v>136.4</v>
      </c>
      <c r="F50">
        <v>143.69999999999999</v>
      </c>
      <c r="G50">
        <v>140.6</v>
      </c>
      <c r="H50">
        <v>141.5</v>
      </c>
      <c r="I50">
        <v>122.9</v>
      </c>
      <c r="J50">
        <v>149.4</v>
      </c>
      <c r="K50">
        <v>142.4</v>
      </c>
      <c r="L50">
        <v>130.19999999999999</v>
      </c>
      <c r="M50">
        <v>117.9</v>
      </c>
      <c r="N50">
        <v>135.6</v>
      </c>
      <c r="O50">
        <v>130.5</v>
      </c>
      <c r="P50">
        <v>151.69999999999999</v>
      </c>
      <c r="Q50">
        <v>138.69999999999999</v>
      </c>
      <c r="R50" s="12">
        <f t="shared" si="1"/>
        <v>4.2857142857142774E-2</v>
      </c>
      <c r="S50">
        <v>153.30000000000001</v>
      </c>
      <c r="T50">
        <v>148.69999999999999</v>
      </c>
      <c r="U50">
        <v>142.4</v>
      </c>
      <c r="V50">
        <v>147.80000000000001</v>
      </c>
      <c r="W50" t="s">
        <v>31</v>
      </c>
      <c r="X50">
        <v>142.4</v>
      </c>
      <c r="Y50" s="12">
        <f t="shared" si="2"/>
        <v>0.11336982017200938</v>
      </c>
      <c r="Z50">
        <v>139.9</v>
      </c>
      <c r="AA50">
        <v>136.19999999999999</v>
      </c>
      <c r="AB50" s="12">
        <f t="shared" si="3"/>
        <v>6.9073783359497515E-2</v>
      </c>
      <c r="AC50">
        <v>123.3</v>
      </c>
      <c r="AD50">
        <v>134.30000000000001</v>
      </c>
      <c r="AE50">
        <v>141.5</v>
      </c>
      <c r="AF50">
        <v>128.80000000000001</v>
      </c>
      <c r="AG50">
        <v>132.5</v>
      </c>
      <c r="AH50">
        <v>138.5</v>
      </c>
      <c r="AI50" s="11">
        <f t="shared" si="4"/>
        <v>6.049004594180709E-2</v>
      </c>
    </row>
    <row r="51" spans="1:35" x14ac:dyDescent="0.25">
      <c r="A51" t="s">
        <v>32</v>
      </c>
      <c r="B51">
        <v>2018</v>
      </c>
      <c r="C51">
        <v>2</v>
      </c>
      <c r="D51" s="13">
        <f t="shared" si="0"/>
        <v>43132</v>
      </c>
      <c r="E51">
        <v>134.80000000000001</v>
      </c>
      <c r="F51">
        <v>143</v>
      </c>
      <c r="G51">
        <v>139.9</v>
      </c>
      <c r="H51">
        <v>139.9</v>
      </c>
      <c r="I51">
        <v>116.2</v>
      </c>
      <c r="J51">
        <v>135.5</v>
      </c>
      <c r="K51">
        <v>136.9</v>
      </c>
      <c r="L51">
        <v>117</v>
      </c>
      <c r="M51">
        <v>115.4</v>
      </c>
      <c r="N51">
        <v>140.69999999999999</v>
      </c>
      <c r="O51">
        <v>125.9</v>
      </c>
      <c r="P51">
        <v>147.1</v>
      </c>
      <c r="Q51">
        <v>135.6</v>
      </c>
      <c r="R51" s="12">
        <f t="shared" si="1"/>
        <v>-2.23503965392934E-2</v>
      </c>
      <c r="S51">
        <v>159.30000000000001</v>
      </c>
      <c r="T51">
        <v>136.30000000000001</v>
      </c>
      <c r="U51">
        <v>126.1</v>
      </c>
      <c r="V51">
        <v>134.69999999999999</v>
      </c>
      <c r="W51">
        <v>141.30000000000001</v>
      </c>
      <c r="X51">
        <v>127.3</v>
      </c>
      <c r="Y51" s="12">
        <f t="shared" si="2"/>
        <v>-0.10603932584269668</v>
      </c>
      <c r="Z51">
        <v>129.9</v>
      </c>
      <c r="AA51">
        <v>129.80000000000001</v>
      </c>
      <c r="AB51" s="12">
        <f t="shared" si="3"/>
        <v>-4.6989720998531409E-2</v>
      </c>
      <c r="AC51">
        <v>117.4</v>
      </c>
      <c r="AD51">
        <v>126.5</v>
      </c>
      <c r="AE51">
        <v>137.19999999999999</v>
      </c>
      <c r="AF51">
        <v>126.2</v>
      </c>
      <c r="AG51">
        <v>126.5</v>
      </c>
      <c r="AH51">
        <v>134</v>
      </c>
      <c r="AI51" s="11">
        <f t="shared" si="4"/>
        <v>-3.2490974729241874E-2</v>
      </c>
    </row>
    <row r="52" spans="1:35" x14ac:dyDescent="0.25">
      <c r="A52" t="s">
        <v>33</v>
      </c>
      <c r="B52">
        <v>2018</v>
      </c>
      <c r="C52">
        <v>2</v>
      </c>
      <c r="D52" s="13">
        <f t="shared" si="0"/>
        <v>43132</v>
      </c>
      <c r="E52">
        <v>135.9</v>
      </c>
      <c r="F52">
        <v>143.5</v>
      </c>
      <c r="G52">
        <v>140.30000000000001</v>
      </c>
      <c r="H52">
        <v>140.9</v>
      </c>
      <c r="I52">
        <v>120.4</v>
      </c>
      <c r="J52">
        <v>142.9</v>
      </c>
      <c r="K52">
        <v>140.5</v>
      </c>
      <c r="L52">
        <v>125.8</v>
      </c>
      <c r="M52">
        <v>117.1</v>
      </c>
      <c r="N52">
        <v>137.30000000000001</v>
      </c>
      <c r="O52">
        <v>128.6</v>
      </c>
      <c r="P52">
        <v>149.6</v>
      </c>
      <c r="Q52">
        <v>137.6</v>
      </c>
      <c r="R52" s="12">
        <f t="shared" si="1"/>
        <v>1.4749262536873156E-2</v>
      </c>
      <c r="S52">
        <v>154.9</v>
      </c>
      <c r="T52">
        <v>143.80000000000001</v>
      </c>
      <c r="U52">
        <v>135.6</v>
      </c>
      <c r="V52">
        <v>142.6</v>
      </c>
      <c r="W52">
        <v>141.30000000000001</v>
      </c>
      <c r="X52">
        <v>136.69999999999999</v>
      </c>
      <c r="Y52" s="12">
        <f t="shared" si="2"/>
        <v>7.3841319717203396E-2</v>
      </c>
      <c r="Z52">
        <v>135.19999999999999</v>
      </c>
      <c r="AA52">
        <v>133.80000000000001</v>
      </c>
      <c r="AB52" s="12">
        <f t="shared" si="3"/>
        <v>3.0816640986132508E-2</v>
      </c>
      <c r="AC52">
        <v>120.2</v>
      </c>
      <c r="AD52">
        <v>129.9</v>
      </c>
      <c r="AE52">
        <v>139</v>
      </c>
      <c r="AF52">
        <v>127.7</v>
      </c>
      <c r="AG52">
        <v>129.6</v>
      </c>
      <c r="AH52">
        <v>136.4</v>
      </c>
      <c r="AI52" s="11">
        <f t="shared" si="4"/>
        <v>1.7910447761194073E-2</v>
      </c>
    </row>
    <row r="53" spans="1:35" x14ac:dyDescent="0.25">
      <c r="A53" t="s">
        <v>30</v>
      </c>
      <c r="B53">
        <v>2019</v>
      </c>
      <c r="C53">
        <v>2</v>
      </c>
      <c r="D53" s="13">
        <f t="shared" si="0"/>
        <v>43497</v>
      </c>
      <c r="E53">
        <v>136.80000000000001</v>
      </c>
      <c r="F53">
        <v>153</v>
      </c>
      <c r="G53">
        <v>139.1</v>
      </c>
      <c r="H53">
        <v>142.5</v>
      </c>
      <c r="I53">
        <v>124.1</v>
      </c>
      <c r="J53">
        <v>135.80000000000001</v>
      </c>
      <c r="K53">
        <v>128.69999999999999</v>
      </c>
      <c r="L53">
        <v>121.5</v>
      </c>
      <c r="M53">
        <v>108.3</v>
      </c>
      <c r="N53">
        <v>139.19999999999999</v>
      </c>
      <c r="O53">
        <v>137.4</v>
      </c>
      <c r="P53">
        <v>156.19999999999999</v>
      </c>
      <c r="Q53">
        <v>137.19999999999999</v>
      </c>
      <c r="R53" s="12">
        <f t="shared" si="1"/>
        <v>-2.9069767441860881E-3</v>
      </c>
      <c r="S53">
        <v>162.80000000000001</v>
      </c>
      <c r="T53">
        <v>150.5</v>
      </c>
      <c r="U53">
        <v>146.1</v>
      </c>
      <c r="V53">
        <v>149.9</v>
      </c>
      <c r="W53" t="s">
        <v>31</v>
      </c>
      <c r="X53">
        <v>145.30000000000001</v>
      </c>
      <c r="Y53" s="12">
        <f t="shared" si="2"/>
        <v>6.2911485003657813E-2</v>
      </c>
      <c r="Z53">
        <v>150.1</v>
      </c>
      <c r="AA53">
        <v>149.9</v>
      </c>
      <c r="AB53" s="12">
        <f t="shared" si="3"/>
        <v>0.12032884902840055</v>
      </c>
      <c r="AC53">
        <v>129.19999999999999</v>
      </c>
      <c r="AD53">
        <v>143.4</v>
      </c>
      <c r="AE53">
        <v>155.5</v>
      </c>
      <c r="AF53">
        <v>134.9</v>
      </c>
      <c r="AG53">
        <v>142.19999999999999</v>
      </c>
      <c r="AH53">
        <v>141</v>
      </c>
      <c r="AI53" s="11">
        <f t="shared" si="4"/>
        <v>3.3724340175953035E-2</v>
      </c>
    </row>
    <row r="54" spans="1:35" x14ac:dyDescent="0.25">
      <c r="A54" t="s">
        <v>32</v>
      </c>
      <c r="B54">
        <v>2019</v>
      </c>
      <c r="C54">
        <v>2</v>
      </c>
      <c r="D54" s="13">
        <f t="shared" si="0"/>
        <v>43497</v>
      </c>
      <c r="E54">
        <v>139.4</v>
      </c>
      <c r="F54">
        <v>150.1</v>
      </c>
      <c r="G54">
        <v>145.30000000000001</v>
      </c>
      <c r="H54">
        <v>141.69999999999999</v>
      </c>
      <c r="I54">
        <v>118.4</v>
      </c>
      <c r="J54">
        <v>137</v>
      </c>
      <c r="K54">
        <v>131.6</v>
      </c>
      <c r="L54">
        <v>119.9</v>
      </c>
      <c r="M54">
        <v>110.4</v>
      </c>
      <c r="N54">
        <v>140.80000000000001</v>
      </c>
      <c r="O54">
        <v>128.30000000000001</v>
      </c>
      <c r="P54">
        <v>153.5</v>
      </c>
      <c r="Q54">
        <v>138</v>
      </c>
      <c r="R54" s="12">
        <f t="shared" si="1"/>
        <v>5.8309037900875467E-3</v>
      </c>
      <c r="S54">
        <v>164.9</v>
      </c>
      <c r="T54">
        <v>143.30000000000001</v>
      </c>
      <c r="U54">
        <v>130.80000000000001</v>
      </c>
      <c r="V54">
        <v>141.4</v>
      </c>
      <c r="W54">
        <v>148.5</v>
      </c>
      <c r="X54">
        <v>127.1</v>
      </c>
      <c r="Y54" s="12">
        <f t="shared" si="2"/>
        <v>-0.12525808671713706</v>
      </c>
      <c r="Z54">
        <v>136.6</v>
      </c>
      <c r="AA54">
        <v>138.5</v>
      </c>
      <c r="AB54" s="12">
        <f t="shared" si="3"/>
        <v>-7.6050700466978025E-2</v>
      </c>
      <c r="AC54">
        <v>119.2</v>
      </c>
      <c r="AD54">
        <v>132.19999999999999</v>
      </c>
      <c r="AE54">
        <v>146.6</v>
      </c>
      <c r="AF54">
        <v>133</v>
      </c>
      <c r="AG54">
        <v>132.4</v>
      </c>
      <c r="AH54">
        <v>138.6</v>
      </c>
      <c r="AI54" s="11">
        <f t="shared" si="4"/>
        <v>-1.7021276595744723E-2</v>
      </c>
    </row>
    <row r="55" spans="1:35" x14ac:dyDescent="0.25">
      <c r="A55" t="s">
        <v>33</v>
      </c>
      <c r="B55">
        <v>2019</v>
      </c>
      <c r="C55">
        <v>2</v>
      </c>
      <c r="D55" s="13">
        <f t="shared" si="0"/>
        <v>43497</v>
      </c>
      <c r="E55">
        <v>137.6</v>
      </c>
      <c r="F55">
        <v>152</v>
      </c>
      <c r="G55">
        <v>141.5</v>
      </c>
      <c r="H55">
        <v>142.19999999999999</v>
      </c>
      <c r="I55">
        <v>122</v>
      </c>
      <c r="J55">
        <v>136.4</v>
      </c>
      <c r="K55">
        <v>129.69999999999999</v>
      </c>
      <c r="L55">
        <v>121</v>
      </c>
      <c r="M55">
        <v>109</v>
      </c>
      <c r="N55">
        <v>139.69999999999999</v>
      </c>
      <c r="O55">
        <v>133.6</v>
      </c>
      <c r="P55">
        <v>154.9</v>
      </c>
      <c r="Q55">
        <v>137.5</v>
      </c>
      <c r="R55" s="12">
        <f t="shared" si="1"/>
        <v>-3.6231884057971015E-3</v>
      </c>
      <c r="S55">
        <v>163.4</v>
      </c>
      <c r="T55">
        <v>147.69999999999999</v>
      </c>
      <c r="U55">
        <v>139.69999999999999</v>
      </c>
      <c r="V55">
        <v>146.5</v>
      </c>
      <c r="W55">
        <v>148.5</v>
      </c>
      <c r="X55">
        <v>138.4</v>
      </c>
      <c r="Y55" s="12">
        <f t="shared" si="2"/>
        <v>8.8906372934697178E-2</v>
      </c>
      <c r="Z55">
        <v>143.69999999999999</v>
      </c>
      <c r="AA55">
        <v>145.6</v>
      </c>
      <c r="AB55" s="12">
        <f t="shared" si="3"/>
        <v>5.1263537906137142E-2</v>
      </c>
      <c r="AC55">
        <v>123.9</v>
      </c>
      <c r="AD55">
        <v>137.1</v>
      </c>
      <c r="AE55">
        <v>150.30000000000001</v>
      </c>
      <c r="AF55">
        <v>134.1</v>
      </c>
      <c r="AG55">
        <v>137.4</v>
      </c>
      <c r="AH55">
        <v>139.9</v>
      </c>
      <c r="AI55" s="11">
        <f t="shared" si="4"/>
        <v>9.3795093795094615E-3</v>
      </c>
    </row>
    <row r="56" spans="1:35" x14ac:dyDescent="0.25">
      <c r="A56" t="s">
        <v>30</v>
      </c>
      <c r="B56">
        <v>2020</v>
      </c>
      <c r="C56">
        <v>2</v>
      </c>
      <c r="D56" s="13">
        <f t="shared" si="0"/>
        <v>43862</v>
      </c>
      <c r="E56">
        <v>144.19999999999999</v>
      </c>
      <c r="F56">
        <v>167.5</v>
      </c>
      <c r="G56">
        <v>150.9</v>
      </c>
      <c r="H56">
        <v>150.9</v>
      </c>
      <c r="I56">
        <v>133.69999999999999</v>
      </c>
      <c r="J56">
        <v>140.69999999999999</v>
      </c>
      <c r="K56">
        <v>165.1</v>
      </c>
      <c r="L56">
        <v>141.80000000000001</v>
      </c>
      <c r="M56">
        <v>113.1</v>
      </c>
      <c r="N56">
        <v>152.80000000000001</v>
      </c>
      <c r="O56">
        <v>140.1</v>
      </c>
      <c r="P56">
        <v>159.19999999999999</v>
      </c>
      <c r="Q56">
        <v>149.80000000000001</v>
      </c>
      <c r="R56" s="12">
        <f t="shared" si="1"/>
        <v>8.9454545454545537E-2</v>
      </c>
      <c r="S56">
        <v>169.4</v>
      </c>
      <c r="T56">
        <v>153</v>
      </c>
      <c r="U56">
        <v>147.5</v>
      </c>
      <c r="V56">
        <v>152.30000000000001</v>
      </c>
      <c r="W56" t="s">
        <v>31</v>
      </c>
      <c r="X56">
        <v>152.30000000000001</v>
      </c>
      <c r="Y56" s="12">
        <f t="shared" si="2"/>
        <v>0.10043352601156073</v>
      </c>
      <c r="Z56">
        <v>151.80000000000001</v>
      </c>
      <c r="AA56">
        <v>156.19999999999999</v>
      </c>
      <c r="AB56" s="12">
        <f t="shared" si="3"/>
        <v>7.2802197802197766E-2</v>
      </c>
      <c r="AC56">
        <v>136</v>
      </c>
      <c r="AD56">
        <v>150.4</v>
      </c>
      <c r="AE56">
        <v>161.9</v>
      </c>
      <c r="AF56">
        <v>143.4</v>
      </c>
      <c r="AG56">
        <v>148.4</v>
      </c>
      <c r="AH56">
        <v>150.4</v>
      </c>
      <c r="AI56" s="11">
        <f t="shared" si="4"/>
        <v>7.5053609721229445E-2</v>
      </c>
    </row>
    <row r="57" spans="1:35" x14ac:dyDescent="0.25">
      <c r="A57" t="s">
        <v>32</v>
      </c>
      <c r="B57">
        <v>2020</v>
      </c>
      <c r="C57">
        <v>2</v>
      </c>
      <c r="D57" s="13">
        <f t="shared" si="0"/>
        <v>43862</v>
      </c>
      <c r="E57">
        <v>146.19999999999999</v>
      </c>
      <c r="F57">
        <v>167.6</v>
      </c>
      <c r="G57">
        <v>153.1</v>
      </c>
      <c r="H57">
        <v>150.69999999999999</v>
      </c>
      <c r="I57">
        <v>127.4</v>
      </c>
      <c r="J57">
        <v>143.1</v>
      </c>
      <c r="K57">
        <v>181.7</v>
      </c>
      <c r="L57">
        <v>139.6</v>
      </c>
      <c r="M57">
        <v>114.6</v>
      </c>
      <c r="N57">
        <v>150.4</v>
      </c>
      <c r="O57">
        <v>131.5</v>
      </c>
      <c r="P57">
        <v>159</v>
      </c>
      <c r="Q57">
        <v>151.69999999999999</v>
      </c>
      <c r="R57" s="12">
        <f t="shared" si="1"/>
        <v>1.2683578104138699E-2</v>
      </c>
      <c r="S57">
        <v>172</v>
      </c>
      <c r="T57">
        <v>147.30000000000001</v>
      </c>
      <c r="U57">
        <v>133.5</v>
      </c>
      <c r="V57">
        <v>145.19999999999999</v>
      </c>
      <c r="W57">
        <v>154.80000000000001</v>
      </c>
      <c r="X57">
        <v>138.9</v>
      </c>
      <c r="Y57" s="12">
        <f t="shared" si="2"/>
        <v>-8.7984241628365101E-2</v>
      </c>
      <c r="Z57">
        <v>140.4</v>
      </c>
      <c r="AA57">
        <v>144.4</v>
      </c>
      <c r="AB57" s="12">
        <f t="shared" si="3"/>
        <v>-7.5544174135723327E-2</v>
      </c>
      <c r="AC57">
        <v>125.2</v>
      </c>
      <c r="AD57">
        <v>137.69999999999999</v>
      </c>
      <c r="AE57">
        <v>152.19999999999999</v>
      </c>
      <c r="AF57">
        <v>143.5</v>
      </c>
      <c r="AG57">
        <v>138.4</v>
      </c>
      <c r="AH57">
        <v>147.69999999999999</v>
      </c>
      <c r="AI57" s="11">
        <f t="shared" si="4"/>
        <v>-1.7952127659574581E-2</v>
      </c>
    </row>
    <row r="58" spans="1:35" x14ac:dyDescent="0.25">
      <c r="A58" t="s">
        <v>33</v>
      </c>
      <c r="B58">
        <v>2020</v>
      </c>
      <c r="C58">
        <v>2</v>
      </c>
      <c r="D58" s="13">
        <f t="shared" si="0"/>
        <v>43862</v>
      </c>
      <c r="E58">
        <v>144.80000000000001</v>
      </c>
      <c r="F58">
        <v>167.5</v>
      </c>
      <c r="G58">
        <v>151.80000000000001</v>
      </c>
      <c r="H58">
        <v>150.80000000000001</v>
      </c>
      <c r="I58">
        <v>131.4</v>
      </c>
      <c r="J58">
        <v>141.80000000000001</v>
      </c>
      <c r="K58">
        <v>170.7</v>
      </c>
      <c r="L58">
        <v>141.1</v>
      </c>
      <c r="M58">
        <v>113.6</v>
      </c>
      <c r="N58">
        <v>152</v>
      </c>
      <c r="O58">
        <v>136.5</v>
      </c>
      <c r="P58">
        <v>159.1</v>
      </c>
      <c r="Q58">
        <v>150.5</v>
      </c>
      <c r="R58" s="12">
        <f t="shared" si="1"/>
        <v>-7.9103493737639335E-3</v>
      </c>
      <c r="S58">
        <v>170.1</v>
      </c>
      <c r="T58">
        <v>150.80000000000001</v>
      </c>
      <c r="U58">
        <v>141.69999999999999</v>
      </c>
      <c r="V58">
        <v>149.5</v>
      </c>
      <c r="W58">
        <v>154.80000000000001</v>
      </c>
      <c r="X58">
        <v>147.19999999999999</v>
      </c>
      <c r="Y58" s="12">
        <f t="shared" si="2"/>
        <v>5.975521958243328E-2</v>
      </c>
      <c r="Z58">
        <v>146.4</v>
      </c>
      <c r="AA58">
        <v>151.69999999999999</v>
      </c>
      <c r="AB58" s="12">
        <f t="shared" si="3"/>
        <v>5.0554016620498493E-2</v>
      </c>
      <c r="AC58">
        <v>130.30000000000001</v>
      </c>
      <c r="AD58">
        <v>143.19999999999999</v>
      </c>
      <c r="AE58">
        <v>156.19999999999999</v>
      </c>
      <c r="AF58">
        <v>143.4</v>
      </c>
      <c r="AG58">
        <v>143.6</v>
      </c>
      <c r="AH58">
        <v>149.1</v>
      </c>
      <c r="AI58" s="11">
        <f t="shared" si="4"/>
        <v>9.4786729857820294E-3</v>
      </c>
    </row>
    <row r="59" spans="1:35" x14ac:dyDescent="0.25">
      <c r="A59" t="s">
        <v>30</v>
      </c>
      <c r="B59">
        <v>2021</v>
      </c>
      <c r="C59">
        <v>2</v>
      </c>
      <c r="D59" s="13">
        <f t="shared" si="0"/>
        <v>44228</v>
      </c>
      <c r="E59">
        <v>142.80000000000001</v>
      </c>
      <c r="F59">
        <v>184</v>
      </c>
      <c r="G59">
        <v>168</v>
      </c>
      <c r="H59">
        <v>154.4</v>
      </c>
      <c r="I59">
        <v>163</v>
      </c>
      <c r="J59">
        <v>147.80000000000001</v>
      </c>
      <c r="K59">
        <v>149.69999999999999</v>
      </c>
      <c r="L59">
        <v>158.30000000000001</v>
      </c>
      <c r="M59">
        <v>111.8</v>
      </c>
      <c r="N59">
        <v>165</v>
      </c>
      <c r="O59">
        <v>160</v>
      </c>
      <c r="P59">
        <v>165.8</v>
      </c>
      <c r="Q59">
        <v>154.69999999999999</v>
      </c>
      <c r="R59" s="12">
        <f t="shared" si="1"/>
        <v>2.790697674418597E-2</v>
      </c>
      <c r="S59">
        <v>186.5</v>
      </c>
      <c r="T59">
        <v>159.1</v>
      </c>
      <c r="U59">
        <v>153.9</v>
      </c>
      <c r="V59">
        <v>158.4</v>
      </c>
      <c r="W59" t="s">
        <v>31</v>
      </c>
      <c r="X59">
        <v>154.4</v>
      </c>
      <c r="Y59" s="12">
        <f t="shared" si="2"/>
        <v>4.891304347826099E-2</v>
      </c>
      <c r="Z59">
        <v>154.80000000000001</v>
      </c>
      <c r="AA59">
        <v>164.3</v>
      </c>
      <c r="AB59" s="12">
        <f t="shared" si="3"/>
        <v>8.3058668424522239E-2</v>
      </c>
      <c r="AC59">
        <v>150.19999999999999</v>
      </c>
      <c r="AD59">
        <v>157</v>
      </c>
      <c r="AE59">
        <v>163.6</v>
      </c>
      <c r="AF59">
        <v>155.19999999999999</v>
      </c>
      <c r="AG59">
        <v>157.19999999999999</v>
      </c>
      <c r="AH59">
        <v>156.69999999999999</v>
      </c>
      <c r="AI59" s="11">
        <f t="shared" si="4"/>
        <v>5.097250167672699E-2</v>
      </c>
    </row>
    <row r="60" spans="1:35" x14ac:dyDescent="0.25">
      <c r="A60" t="s">
        <v>32</v>
      </c>
      <c r="B60">
        <v>2021</v>
      </c>
      <c r="C60">
        <v>2</v>
      </c>
      <c r="D60" s="13">
        <f t="shared" si="0"/>
        <v>44228</v>
      </c>
      <c r="E60">
        <v>147.6</v>
      </c>
      <c r="F60">
        <v>191.2</v>
      </c>
      <c r="G60">
        <v>169.9</v>
      </c>
      <c r="H60">
        <v>155.1</v>
      </c>
      <c r="I60">
        <v>151.4</v>
      </c>
      <c r="J60">
        <v>154</v>
      </c>
      <c r="K60">
        <v>180.2</v>
      </c>
      <c r="L60">
        <v>159.80000000000001</v>
      </c>
      <c r="M60">
        <v>114.9</v>
      </c>
      <c r="N60">
        <v>162.5</v>
      </c>
      <c r="O60">
        <v>149.19999999999999</v>
      </c>
      <c r="P60">
        <v>169.4</v>
      </c>
      <c r="Q60">
        <v>160.80000000000001</v>
      </c>
      <c r="R60" s="12">
        <f t="shared" si="1"/>
        <v>3.9431157078216053E-2</v>
      </c>
      <c r="S60">
        <v>193.3</v>
      </c>
      <c r="T60">
        <v>154.19999999999999</v>
      </c>
      <c r="U60">
        <v>138.19999999999999</v>
      </c>
      <c r="V60">
        <v>151.80000000000001</v>
      </c>
      <c r="W60">
        <v>159.80000000000001</v>
      </c>
      <c r="X60">
        <v>149.1</v>
      </c>
      <c r="Y60" s="12">
        <f t="shared" si="2"/>
        <v>-3.4326424870466395E-2</v>
      </c>
      <c r="Z60">
        <v>146.5</v>
      </c>
      <c r="AA60">
        <v>156.30000000000001</v>
      </c>
      <c r="AB60" s="12">
        <f t="shared" si="3"/>
        <v>-4.8691418137553254E-2</v>
      </c>
      <c r="AC60">
        <v>140.5</v>
      </c>
      <c r="AD60">
        <v>147.30000000000001</v>
      </c>
      <c r="AE60">
        <v>156.6</v>
      </c>
      <c r="AF60">
        <v>156.69999999999999</v>
      </c>
      <c r="AG60">
        <v>149.30000000000001</v>
      </c>
      <c r="AH60">
        <v>156.5</v>
      </c>
      <c r="AI60" s="11">
        <f t="shared" si="4"/>
        <v>-1.2763241863432587E-3</v>
      </c>
    </row>
    <row r="61" spans="1:35" x14ac:dyDescent="0.25">
      <c r="A61" t="s">
        <v>33</v>
      </c>
      <c r="B61">
        <v>2021</v>
      </c>
      <c r="C61">
        <v>2</v>
      </c>
      <c r="D61" s="13">
        <f t="shared" si="0"/>
        <v>44228</v>
      </c>
      <c r="E61">
        <v>144.30000000000001</v>
      </c>
      <c r="F61">
        <v>186.5</v>
      </c>
      <c r="G61">
        <v>168.7</v>
      </c>
      <c r="H61">
        <v>154.69999999999999</v>
      </c>
      <c r="I61">
        <v>158.69999999999999</v>
      </c>
      <c r="J61">
        <v>150.69999999999999</v>
      </c>
      <c r="K61">
        <v>160</v>
      </c>
      <c r="L61">
        <v>158.80000000000001</v>
      </c>
      <c r="M61">
        <v>112.8</v>
      </c>
      <c r="N61">
        <v>164.2</v>
      </c>
      <c r="O61">
        <v>155.5</v>
      </c>
      <c r="P61">
        <v>167.5</v>
      </c>
      <c r="Q61">
        <v>156.9</v>
      </c>
      <c r="R61" s="12">
        <f t="shared" si="1"/>
        <v>-2.4253731343283617E-2</v>
      </c>
      <c r="S61">
        <v>188.3</v>
      </c>
      <c r="T61">
        <v>157.19999999999999</v>
      </c>
      <c r="U61">
        <v>147.4</v>
      </c>
      <c r="V61">
        <v>155.80000000000001</v>
      </c>
      <c r="W61">
        <v>159.80000000000001</v>
      </c>
      <c r="X61">
        <v>152.4</v>
      </c>
      <c r="Y61" s="12">
        <f t="shared" si="2"/>
        <v>2.213279678068418E-2</v>
      </c>
      <c r="Z61">
        <v>150.9</v>
      </c>
      <c r="AA61">
        <v>161.30000000000001</v>
      </c>
      <c r="AB61" s="12">
        <f t="shared" si="3"/>
        <v>3.1989763275751759E-2</v>
      </c>
      <c r="AC61">
        <v>145.1</v>
      </c>
      <c r="AD61">
        <v>151.5</v>
      </c>
      <c r="AE61">
        <v>159.5</v>
      </c>
      <c r="AF61">
        <v>155.80000000000001</v>
      </c>
      <c r="AG61">
        <v>153.4</v>
      </c>
      <c r="AH61">
        <v>156.6</v>
      </c>
      <c r="AI61" s="11">
        <f t="shared" si="4"/>
        <v>6.389776357827113E-4</v>
      </c>
    </row>
    <row r="62" spans="1:35" x14ac:dyDescent="0.25">
      <c r="A62" t="s">
        <v>30</v>
      </c>
      <c r="B62">
        <v>2022</v>
      </c>
      <c r="C62">
        <v>2</v>
      </c>
      <c r="D62" s="13">
        <f t="shared" si="0"/>
        <v>44593</v>
      </c>
      <c r="E62">
        <v>148.80000000000001</v>
      </c>
      <c r="F62">
        <v>198.1</v>
      </c>
      <c r="G62">
        <v>175.5</v>
      </c>
      <c r="H62">
        <v>160.69999999999999</v>
      </c>
      <c r="I62">
        <v>192.6</v>
      </c>
      <c r="J62">
        <v>151.4</v>
      </c>
      <c r="K62">
        <v>155.19999999999999</v>
      </c>
      <c r="L62">
        <v>163.9</v>
      </c>
      <c r="M62">
        <v>118.1</v>
      </c>
      <c r="N62">
        <v>175.4</v>
      </c>
      <c r="O62">
        <v>170.5</v>
      </c>
      <c r="P62">
        <v>176.3</v>
      </c>
      <c r="Q62">
        <v>163.9</v>
      </c>
      <c r="R62" s="12">
        <f t="shared" si="1"/>
        <v>4.4614404079031229E-2</v>
      </c>
      <c r="S62">
        <v>191.5</v>
      </c>
      <c r="T62">
        <v>174.1</v>
      </c>
      <c r="U62">
        <v>171</v>
      </c>
      <c r="V62">
        <v>173.7</v>
      </c>
      <c r="W62" t="s">
        <v>31</v>
      </c>
      <c r="X62">
        <v>167.4</v>
      </c>
      <c r="Y62" s="12">
        <f t="shared" si="2"/>
        <v>9.8425196850393692E-2</v>
      </c>
      <c r="Z62">
        <v>165.7</v>
      </c>
      <c r="AA62">
        <v>175.3</v>
      </c>
      <c r="AB62" s="12">
        <f t="shared" si="3"/>
        <v>8.6794792312461247E-2</v>
      </c>
      <c r="AC62">
        <v>161.19999999999999</v>
      </c>
      <c r="AD62">
        <v>165.5</v>
      </c>
      <c r="AE62">
        <v>170.3</v>
      </c>
      <c r="AF62">
        <v>164.5</v>
      </c>
      <c r="AG62">
        <v>167.3</v>
      </c>
      <c r="AH62">
        <v>166.7</v>
      </c>
      <c r="AI62" s="11">
        <f t="shared" si="4"/>
        <v>6.4495530012771363E-2</v>
      </c>
    </row>
    <row r="63" spans="1:35" x14ac:dyDescent="0.25">
      <c r="A63" t="s">
        <v>32</v>
      </c>
      <c r="B63">
        <v>2022</v>
      </c>
      <c r="C63">
        <v>2</v>
      </c>
      <c r="D63" s="13">
        <f t="shared" si="0"/>
        <v>44593</v>
      </c>
      <c r="E63">
        <v>152.5</v>
      </c>
      <c r="F63">
        <v>205.2</v>
      </c>
      <c r="G63">
        <v>176.4</v>
      </c>
      <c r="H63">
        <v>160.6</v>
      </c>
      <c r="I63">
        <v>171.5</v>
      </c>
      <c r="J63">
        <v>156.4</v>
      </c>
      <c r="K63">
        <v>198</v>
      </c>
      <c r="L63">
        <v>163.19999999999999</v>
      </c>
      <c r="M63">
        <v>120.6</v>
      </c>
      <c r="N63">
        <v>172.2</v>
      </c>
      <c r="O63">
        <v>156.69999999999999</v>
      </c>
      <c r="P63">
        <v>180</v>
      </c>
      <c r="Q63">
        <v>170.2</v>
      </c>
      <c r="R63" s="12">
        <f t="shared" si="1"/>
        <v>3.8438071995118867E-2</v>
      </c>
      <c r="S63">
        <v>196.5</v>
      </c>
      <c r="T63">
        <v>165.7</v>
      </c>
      <c r="U63">
        <v>150.4</v>
      </c>
      <c r="V63">
        <v>163.4</v>
      </c>
      <c r="W63">
        <v>165.5</v>
      </c>
      <c r="X63">
        <v>163</v>
      </c>
      <c r="Y63" s="12">
        <f t="shared" si="2"/>
        <v>-2.6284348864994058E-2</v>
      </c>
      <c r="Z63">
        <v>157.4</v>
      </c>
      <c r="AA63">
        <v>167.2</v>
      </c>
      <c r="AB63" s="12">
        <f t="shared" si="3"/>
        <v>-4.6206503137478733E-2</v>
      </c>
      <c r="AC63">
        <v>153.1</v>
      </c>
      <c r="AD63">
        <v>159.5</v>
      </c>
      <c r="AE63">
        <v>162</v>
      </c>
      <c r="AF63">
        <v>164.2</v>
      </c>
      <c r="AG63">
        <v>159.4</v>
      </c>
      <c r="AH63">
        <v>165.5</v>
      </c>
      <c r="AI63" s="11">
        <f t="shared" si="4"/>
        <v>-7.1985602879423441E-3</v>
      </c>
    </row>
    <row r="64" spans="1:35" x14ac:dyDescent="0.25">
      <c r="A64" t="s">
        <v>33</v>
      </c>
      <c r="B64">
        <v>2022</v>
      </c>
      <c r="C64">
        <v>2</v>
      </c>
      <c r="D64" s="13">
        <f t="shared" si="0"/>
        <v>44593</v>
      </c>
      <c r="E64">
        <v>150</v>
      </c>
      <c r="F64">
        <v>200.6</v>
      </c>
      <c r="G64">
        <v>175.8</v>
      </c>
      <c r="H64">
        <v>160.69999999999999</v>
      </c>
      <c r="I64">
        <v>184.9</v>
      </c>
      <c r="J64">
        <v>153.69999999999999</v>
      </c>
      <c r="K64">
        <v>169.7</v>
      </c>
      <c r="L64">
        <v>163.69999999999999</v>
      </c>
      <c r="M64">
        <v>118.9</v>
      </c>
      <c r="N64">
        <v>174.3</v>
      </c>
      <c r="O64">
        <v>164.7</v>
      </c>
      <c r="P64">
        <v>178</v>
      </c>
      <c r="Q64">
        <v>166.2</v>
      </c>
      <c r="R64" s="12">
        <f t="shared" si="1"/>
        <v>-2.3501762632197415E-2</v>
      </c>
      <c r="S64">
        <v>192.8</v>
      </c>
      <c r="T64">
        <v>170.8</v>
      </c>
      <c r="U64">
        <v>162.4</v>
      </c>
      <c r="V64">
        <v>169.6</v>
      </c>
      <c r="W64">
        <v>165.5</v>
      </c>
      <c r="X64">
        <v>165.7</v>
      </c>
      <c r="Y64" s="12">
        <f t="shared" si="2"/>
        <v>1.6564417177914039E-2</v>
      </c>
      <c r="Z64">
        <v>161.80000000000001</v>
      </c>
      <c r="AA64">
        <v>172.2</v>
      </c>
      <c r="AB64" s="12">
        <f t="shared" si="3"/>
        <v>2.9904306220095697E-2</v>
      </c>
      <c r="AC64">
        <v>156.9</v>
      </c>
      <c r="AD64">
        <v>162.1</v>
      </c>
      <c r="AE64">
        <v>165.4</v>
      </c>
      <c r="AF64">
        <v>164.4</v>
      </c>
      <c r="AG64">
        <v>163.5</v>
      </c>
      <c r="AH64">
        <v>166.1</v>
      </c>
      <c r="AI64" s="11">
        <f t="shared" si="4"/>
        <v>3.6253776435044975E-3</v>
      </c>
    </row>
    <row r="65" spans="1:35" x14ac:dyDescent="0.25">
      <c r="A65" t="s">
        <v>30</v>
      </c>
      <c r="B65">
        <v>2023</v>
      </c>
      <c r="C65">
        <v>2</v>
      </c>
      <c r="D65" s="13">
        <f t="shared" si="0"/>
        <v>44958</v>
      </c>
      <c r="E65">
        <v>174.2</v>
      </c>
      <c r="F65">
        <v>205.2</v>
      </c>
      <c r="G65">
        <v>173.9</v>
      </c>
      <c r="H65">
        <v>177</v>
      </c>
      <c r="I65">
        <v>183.4</v>
      </c>
      <c r="J65">
        <v>167.2</v>
      </c>
      <c r="K65">
        <v>140.9</v>
      </c>
      <c r="L65">
        <v>170.4</v>
      </c>
      <c r="M65">
        <v>119.1</v>
      </c>
      <c r="N65">
        <v>212.1</v>
      </c>
      <c r="O65">
        <v>177.6</v>
      </c>
      <c r="P65">
        <v>189.9</v>
      </c>
      <c r="Q65">
        <v>174.8</v>
      </c>
      <c r="R65" s="12">
        <f t="shared" si="1"/>
        <v>5.1744885679903874E-2</v>
      </c>
      <c r="S65">
        <v>198.3</v>
      </c>
      <c r="T65">
        <v>190</v>
      </c>
      <c r="U65">
        <v>187</v>
      </c>
      <c r="V65">
        <v>189.6</v>
      </c>
      <c r="W65" t="s">
        <v>31</v>
      </c>
      <c r="X65">
        <v>181.6</v>
      </c>
      <c r="Y65" s="12">
        <f t="shared" si="2"/>
        <v>9.5956547978274034E-2</v>
      </c>
      <c r="Z65">
        <v>178.6</v>
      </c>
      <c r="AA65">
        <v>186.6</v>
      </c>
      <c r="AB65" s="12">
        <f t="shared" si="3"/>
        <v>8.3623693379790975E-2</v>
      </c>
      <c r="AC65">
        <v>169</v>
      </c>
      <c r="AD65">
        <v>172.8</v>
      </c>
      <c r="AE65">
        <v>178.5</v>
      </c>
      <c r="AF65">
        <v>180.7</v>
      </c>
      <c r="AG65">
        <v>177.9</v>
      </c>
      <c r="AH65">
        <v>178</v>
      </c>
      <c r="AI65" s="11">
        <f t="shared" si="4"/>
        <v>7.1643588199879621E-2</v>
      </c>
    </row>
    <row r="66" spans="1:35" x14ac:dyDescent="0.25">
      <c r="A66" t="s">
        <v>32</v>
      </c>
      <c r="B66">
        <v>2023</v>
      </c>
      <c r="C66">
        <v>2</v>
      </c>
      <c r="D66" s="13">
        <f t="shared" si="0"/>
        <v>44958</v>
      </c>
      <c r="E66">
        <v>174.7</v>
      </c>
      <c r="F66">
        <v>212.2</v>
      </c>
      <c r="G66">
        <v>177.2</v>
      </c>
      <c r="H66">
        <v>177.9</v>
      </c>
      <c r="I66">
        <v>172.2</v>
      </c>
      <c r="J66">
        <v>172.1</v>
      </c>
      <c r="K66">
        <v>175.8</v>
      </c>
      <c r="L66">
        <v>172.2</v>
      </c>
      <c r="M66">
        <v>121.9</v>
      </c>
      <c r="N66">
        <v>204.8</v>
      </c>
      <c r="O66">
        <v>164.9</v>
      </c>
      <c r="P66">
        <v>196.6</v>
      </c>
      <c r="Q66">
        <v>180.7</v>
      </c>
      <c r="R66" s="12">
        <f t="shared" si="1"/>
        <v>3.3752860411899184E-2</v>
      </c>
      <c r="S66">
        <v>202.7</v>
      </c>
      <c r="T66">
        <v>180.3</v>
      </c>
      <c r="U66">
        <v>167</v>
      </c>
      <c r="V66">
        <v>178.2</v>
      </c>
      <c r="W66">
        <v>173.5</v>
      </c>
      <c r="X66">
        <v>182.8</v>
      </c>
      <c r="Y66" s="12">
        <f t="shared" si="2"/>
        <v>6.6079295154185961E-3</v>
      </c>
      <c r="Z66">
        <v>169.2</v>
      </c>
      <c r="AA66">
        <v>180.8</v>
      </c>
      <c r="AB66" s="12">
        <f t="shared" si="3"/>
        <v>-3.1082529474812343E-2</v>
      </c>
      <c r="AC66">
        <v>159.80000000000001</v>
      </c>
      <c r="AD66">
        <v>168.4</v>
      </c>
      <c r="AE66">
        <v>172.5</v>
      </c>
      <c r="AF66">
        <v>181.4</v>
      </c>
      <c r="AG66">
        <v>170</v>
      </c>
      <c r="AH66">
        <v>176.3</v>
      </c>
      <c r="AI66" s="11">
        <f t="shared" si="4"/>
        <v>-9.5505617977527449E-3</v>
      </c>
    </row>
    <row r="67" spans="1:35" x14ac:dyDescent="0.25">
      <c r="A67" t="s">
        <v>33</v>
      </c>
      <c r="B67">
        <v>2023</v>
      </c>
      <c r="C67">
        <v>2</v>
      </c>
      <c r="D67" s="13">
        <f t="shared" ref="D67:D130" si="5">DATE(B67,C67,1)</f>
        <v>44958</v>
      </c>
      <c r="E67">
        <v>174.4</v>
      </c>
      <c r="F67">
        <v>207.7</v>
      </c>
      <c r="G67">
        <v>175.2</v>
      </c>
      <c r="H67">
        <v>177.3</v>
      </c>
      <c r="I67">
        <v>179.3</v>
      </c>
      <c r="J67">
        <v>169.5</v>
      </c>
      <c r="K67">
        <v>152.69999999999999</v>
      </c>
      <c r="L67">
        <v>171</v>
      </c>
      <c r="M67">
        <v>120</v>
      </c>
      <c r="N67">
        <v>209.7</v>
      </c>
      <c r="O67">
        <v>172.3</v>
      </c>
      <c r="P67">
        <v>193</v>
      </c>
      <c r="Q67">
        <v>177</v>
      </c>
      <c r="R67" s="12">
        <f t="shared" ref="R67:R130" si="6">(Q67-Q66)/Q66</f>
        <v>-2.0475926950747032E-2</v>
      </c>
      <c r="S67">
        <v>199.5</v>
      </c>
      <c r="T67">
        <v>186.2</v>
      </c>
      <c r="U67">
        <v>178.7</v>
      </c>
      <c r="V67">
        <v>185.1</v>
      </c>
      <c r="W67">
        <v>173.5</v>
      </c>
      <c r="X67">
        <v>182.1</v>
      </c>
      <c r="Y67" s="12">
        <f t="shared" ref="Y67:Y130" si="7">(X67-X66)/X66</f>
        <v>-3.8293216630197868E-3</v>
      </c>
      <c r="Z67">
        <v>174.2</v>
      </c>
      <c r="AA67">
        <v>184.4</v>
      </c>
      <c r="AB67" s="12">
        <f t="shared" ref="AB67:AB130" si="8">(AA67-AA66)/AA66</f>
        <v>1.991150442477873E-2</v>
      </c>
      <c r="AC67">
        <v>164.2</v>
      </c>
      <c r="AD67">
        <v>170.3</v>
      </c>
      <c r="AE67">
        <v>175</v>
      </c>
      <c r="AF67">
        <v>181</v>
      </c>
      <c r="AG67">
        <v>174.1</v>
      </c>
      <c r="AH67">
        <v>177.2</v>
      </c>
      <c r="AI67" s="11">
        <f t="shared" si="4"/>
        <v>5.1049347702778062E-3</v>
      </c>
    </row>
    <row r="68" spans="1:35" x14ac:dyDescent="0.25">
      <c r="A68" t="s">
        <v>30</v>
      </c>
      <c r="B68">
        <v>2013</v>
      </c>
      <c r="C68">
        <v>3</v>
      </c>
      <c r="D68" s="13">
        <f t="shared" si="5"/>
        <v>41334</v>
      </c>
      <c r="E68">
        <v>110.2</v>
      </c>
      <c r="F68">
        <v>108.8</v>
      </c>
      <c r="G68">
        <v>109.9</v>
      </c>
      <c r="H68">
        <v>105.6</v>
      </c>
      <c r="I68">
        <v>106.2</v>
      </c>
      <c r="J68">
        <v>105.7</v>
      </c>
      <c r="K68">
        <v>101.4</v>
      </c>
      <c r="L68">
        <v>105.7</v>
      </c>
      <c r="M68">
        <v>105</v>
      </c>
      <c r="N68">
        <v>103.3</v>
      </c>
      <c r="O68">
        <v>105.6</v>
      </c>
      <c r="P68">
        <v>108.2</v>
      </c>
      <c r="Q68">
        <v>106.6</v>
      </c>
      <c r="R68" s="12">
        <f t="shared" si="6"/>
        <v>-0.3977401129943503</v>
      </c>
      <c r="S68">
        <v>106.5</v>
      </c>
      <c r="T68">
        <v>107.6</v>
      </c>
      <c r="U68">
        <v>106.8</v>
      </c>
      <c r="V68">
        <v>107.5</v>
      </c>
      <c r="W68" t="s">
        <v>31</v>
      </c>
      <c r="X68">
        <v>106.1</v>
      </c>
      <c r="Y68" s="12">
        <f t="shared" si="7"/>
        <v>-0.4173531026908292</v>
      </c>
      <c r="Z68">
        <v>105.6</v>
      </c>
      <c r="AA68">
        <v>104.7</v>
      </c>
      <c r="AB68" s="12">
        <f t="shared" si="8"/>
        <v>-0.43221258134490237</v>
      </c>
      <c r="AC68">
        <v>104.6</v>
      </c>
      <c r="AD68">
        <v>104</v>
      </c>
      <c r="AE68">
        <v>104.3</v>
      </c>
      <c r="AF68">
        <v>104.3</v>
      </c>
      <c r="AG68">
        <v>104.6</v>
      </c>
      <c r="AH68">
        <v>106</v>
      </c>
      <c r="AI68" s="11">
        <f t="shared" ref="AI68:AI131" si="9">(AH68-AH67)/AH67</f>
        <v>-0.40180586907449206</v>
      </c>
    </row>
    <row r="69" spans="1:35" x14ac:dyDescent="0.25">
      <c r="A69" t="s">
        <v>32</v>
      </c>
      <c r="B69">
        <v>2013</v>
      </c>
      <c r="C69">
        <v>3</v>
      </c>
      <c r="D69" s="13">
        <f t="shared" si="5"/>
        <v>41334</v>
      </c>
      <c r="E69">
        <v>113.9</v>
      </c>
      <c r="F69">
        <v>111.4</v>
      </c>
      <c r="G69">
        <v>113.2</v>
      </c>
      <c r="H69">
        <v>104.3</v>
      </c>
      <c r="I69">
        <v>102.7</v>
      </c>
      <c r="J69">
        <v>104.9</v>
      </c>
      <c r="K69">
        <v>103.8</v>
      </c>
      <c r="L69">
        <v>103.5</v>
      </c>
      <c r="M69">
        <v>102.6</v>
      </c>
      <c r="N69">
        <v>102.4</v>
      </c>
      <c r="O69">
        <v>107</v>
      </c>
      <c r="P69">
        <v>109.8</v>
      </c>
      <c r="Q69">
        <v>107.3</v>
      </c>
      <c r="R69" s="12">
        <f t="shared" si="6"/>
        <v>6.5666041275797647E-3</v>
      </c>
      <c r="S69">
        <v>106.8</v>
      </c>
      <c r="T69">
        <v>107.2</v>
      </c>
      <c r="U69">
        <v>106</v>
      </c>
      <c r="V69">
        <v>107</v>
      </c>
      <c r="W69">
        <v>100.4</v>
      </c>
      <c r="X69">
        <v>106</v>
      </c>
      <c r="Y69" s="12">
        <f t="shared" si="7"/>
        <v>-9.4250706880296255E-4</v>
      </c>
      <c r="Z69">
        <v>105.7</v>
      </c>
      <c r="AA69">
        <v>105.2</v>
      </c>
      <c r="AB69" s="12">
        <f t="shared" si="8"/>
        <v>4.7755491881566383E-3</v>
      </c>
      <c r="AC69">
        <v>105.5</v>
      </c>
      <c r="AD69">
        <v>103.5</v>
      </c>
      <c r="AE69">
        <v>103.8</v>
      </c>
      <c r="AF69">
        <v>104.2</v>
      </c>
      <c r="AG69">
        <v>104.9</v>
      </c>
      <c r="AH69">
        <v>105</v>
      </c>
      <c r="AI69" s="11">
        <f t="shared" si="9"/>
        <v>-9.433962264150943E-3</v>
      </c>
    </row>
    <row r="70" spans="1:35" x14ac:dyDescent="0.25">
      <c r="A70" t="s">
        <v>33</v>
      </c>
      <c r="B70">
        <v>2013</v>
      </c>
      <c r="C70">
        <v>3</v>
      </c>
      <c r="D70" s="13">
        <f t="shared" si="5"/>
        <v>41334</v>
      </c>
      <c r="E70">
        <v>111.4</v>
      </c>
      <c r="F70">
        <v>109.7</v>
      </c>
      <c r="G70">
        <v>111.2</v>
      </c>
      <c r="H70">
        <v>105.1</v>
      </c>
      <c r="I70">
        <v>104.9</v>
      </c>
      <c r="J70">
        <v>105.3</v>
      </c>
      <c r="K70">
        <v>102.2</v>
      </c>
      <c r="L70">
        <v>105</v>
      </c>
      <c r="M70">
        <v>104.2</v>
      </c>
      <c r="N70">
        <v>103</v>
      </c>
      <c r="O70">
        <v>106.2</v>
      </c>
      <c r="P70">
        <v>108.9</v>
      </c>
      <c r="Q70">
        <v>106.9</v>
      </c>
      <c r="R70" s="12">
        <f t="shared" si="6"/>
        <v>-3.7278657968312346E-3</v>
      </c>
      <c r="S70">
        <v>106.6</v>
      </c>
      <c r="T70">
        <v>107.4</v>
      </c>
      <c r="U70">
        <v>106.5</v>
      </c>
      <c r="V70">
        <v>107.3</v>
      </c>
      <c r="W70">
        <v>100.4</v>
      </c>
      <c r="X70">
        <v>106.1</v>
      </c>
      <c r="Y70" s="12">
        <f t="shared" si="7"/>
        <v>9.4339622641504068E-4</v>
      </c>
      <c r="Z70">
        <v>105.6</v>
      </c>
      <c r="AA70">
        <v>104.9</v>
      </c>
      <c r="AB70" s="12">
        <f t="shared" si="8"/>
        <v>-2.8517110266159424E-3</v>
      </c>
      <c r="AC70">
        <v>105.1</v>
      </c>
      <c r="AD70">
        <v>103.7</v>
      </c>
      <c r="AE70">
        <v>104</v>
      </c>
      <c r="AF70">
        <v>104.3</v>
      </c>
      <c r="AG70">
        <v>104.7</v>
      </c>
      <c r="AH70">
        <v>105.5</v>
      </c>
      <c r="AI70" s="11">
        <f t="shared" si="9"/>
        <v>4.7619047619047623E-3</v>
      </c>
    </row>
    <row r="71" spans="1:35" x14ac:dyDescent="0.25">
      <c r="A71" t="s">
        <v>30</v>
      </c>
      <c r="B71">
        <v>2014</v>
      </c>
      <c r="C71">
        <v>3</v>
      </c>
      <c r="D71" s="13">
        <f t="shared" si="5"/>
        <v>41699</v>
      </c>
      <c r="E71">
        <v>120.1</v>
      </c>
      <c r="F71">
        <v>118.1</v>
      </c>
      <c r="G71">
        <v>120.7</v>
      </c>
      <c r="H71">
        <v>116.1</v>
      </c>
      <c r="I71">
        <v>109.3</v>
      </c>
      <c r="J71">
        <v>119.6</v>
      </c>
      <c r="K71">
        <v>117.9</v>
      </c>
      <c r="L71">
        <v>110.2</v>
      </c>
      <c r="M71">
        <v>101.2</v>
      </c>
      <c r="N71">
        <v>110.7</v>
      </c>
      <c r="O71">
        <v>113</v>
      </c>
      <c r="P71">
        <v>118.3</v>
      </c>
      <c r="Q71">
        <v>116.2</v>
      </c>
      <c r="R71" s="12">
        <f t="shared" si="6"/>
        <v>8.6997193638914838E-2</v>
      </c>
      <c r="S71">
        <v>114.6</v>
      </c>
      <c r="T71">
        <v>117.5</v>
      </c>
      <c r="U71">
        <v>114.9</v>
      </c>
      <c r="V71">
        <v>117.2</v>
      </c>
      <c r="W71" t="s">
        <v>31</v>
      </c>
      <c r="X71">
        <v>113.4</v>
      </c>
      <c r="Y71" s="12">
        <f t="shared" si="7"/>
        <v>6.8803016022620275E-2</v>
      </c>
      <c r="Z71">
        <v>113.4</v>
      </c>
      <c r="AA71">
        <v>111.4</v>
      </c>
      <c r="AB71" s="12">
        <f t="shared" si="8"/>
        <v>6.196377502383222E-2</v>
      </c>
      <c r="AC71">
        <v>111.2</v>
      </c>
      <c r="AD71">
        <v>110.2</v>
      </c>
      <c r="AE71">
        <v>112.4</v>
      </c>
      <c r="AF71">
        <v>108.9</v>
      </c>
      <c r="AG71">
        <v>111.3</v>
      </c>
      <c r="AH71">
        <v>114.6</v>
      </c>
      <c r="AI71" s="11">
        <f t="shared" si="9"/>
        <v>8.6255924170616061E-2</v>
      </c>
    </row>
    <row r="72" spans="1:35" x14ac:dyDescent="0.25">
      <c r="A72" t="s">
        <v>32</v>
      </c>
      <c r="B72">
        <v>2014</v>
      </c>
      <c r="C72">
        <v>3</v>
      </c>
      <c r="D72" s="13">
        <f t="shared" si="5"/>
        <v>41699</v>
      </c>
      <c r="E72">
        <v>122.1</v>
      </c>
      <c r="F72">
        <v>121.4</v>
      </c>
      <c r="G72">
        <v>121.5</v>
      </c>
      <c r="H72">
        <v>116.2</v>
      </c>
      <c r="I72">
        <v>102.8</v>
      </c>
      <c r="J72">
        <v>117.7</v>
      </c>
      <c r="K72">
        <v>113.3</v>
      </c>
      <c r="L72">
        <v>108.9</v>
      </c>
      <c r="M72">
        <v>96.3</v>
      </c>
      <c r="N72">
        <v>114.1</v>
      </c>
      <c r="O72">
        <v>112.2</v>
      </c>
      <c r="P72">
        <v>120.5</v>
      </c>
      <c r="Q72">
        <v>116</v>
      </c>
      <c r="R72" s="12">
        <f t="shared" si="6"/>
        <v>-1.7211703958692154E-3</v>
      </c>
      <c r="S72">
        <v>116.7</v>
      </c>
      <c r="T72">
        <v>115.8</v>
      </c>
      <c r="U72">
        <v>112.1</v>
      </c>
      <c r="V72">
        <v>115.2</v>
      </c>
      <c r="W72">
        <v>113.2</v>
      </c>
      <c r="X72">
        <v>110.9</v>
      </c>
      <c r="Y72" s="12">
        <f t="shared" si="7"/>
        <v>-2.2045855379188711E-2</v>
      </c>
      <c r="Z72">
        <v>113</v>
      </c>
      <c r="AA72">
        <v>110.8</v>
      </c>
      <c r="AB72" s="12">
        <f t="shared" si="8"/>
        <v>-5.3859964093358036E-3</v>
      </c>
      <c r="AC72">
        <v>111.6</v>
      </c>
      <c r="AD72">
        <v>110.9</v>
      </c>
      <c r="AE72">
        <v>111.8</v>
      </c>
      <c r="AF72">
        <v>109.2</v>
      </c>
      <c r="AG72">
        <v>111.4</v>
      </c>
      <c r="AH72">
        <v>113.7</v>
      </c>
      <c r="AI72" s="11">
        <f t="shared" si="9"/>
        <v>-7.8534031413611833E-3</v>
      </c>
    </row>
    <row r="73" spans="1:35" x14ac:dyDescent="0.25">
      <c r="A73" t="s">
        <v>33</v>
      </c>
      <c r="B73">
        <v>2014</v>
      </c>
      <c r="C73">
        <v>3</v>
      </c>
      <c r="D73" s="13">
        <f t="shared" si="5"/>
        <v>41699</v>
      </c>
      <c r="E73">
        <v>120.7</v>
      </c>
      <c r="F73">
        <v>119.3</v>
      </c>
      <c r="G73">
        <v>121</v>
      </c>
      <c r="H73">
        <v>116.1</v>
      </c>
      <c r="I73">
        <v>106.9</v>
      </c>
      <c r="J73">
        <v>118.7</v>
      </c>
      <c r="K73">
        <v>116.3</v>
      </c>
      <c r="L73">
        <v>109.8</v>
      </c>
      <c r="M73">
        <v>99.6</v>
      </c>
      <c r="N73">
        <v>111.8</v>
      </c>
      <c r="O73">
        <v>112.7</v>
      </c>
      <c r="P73">
        <v>119.3</v>
      </c>
      <c r="Q73">
        <v>116.1</v>
      </c>
      <c r="R73" s="12">
        <f t="shared" si="6"/>
        <v>8.6206896551719236E-4</v>
      </c>
      <c r="S73">
        <v>115.2</v>
      </c>
      <c r="T73">
        <v>116.8</v>
      </c>
      <c r="U73">
        <v>113.7</v>
      </c>
      <c r="V73">
        <v>116.4</v>
      </c>
      <c r="W73">
        <v>113.2</v>
      </c>
      <c r="X73">
        <v>112.5</v>
      </c>
      <c r="Y73" s="12">
        <f t="shared" si="7"/>
        <v>1.4427412082957567E-2</v>
      </c>
      <c r="Z73">
        <v>113.2</v>
      </c>
      <c r="AA73">
        <v>111.2</v>
      </c>
      <c r="AB73" s="12">
        <f t="shared" si="8"/>
        <v>3.6101083032491488E-3</v>
      </c>
      <c r="AC73">
        <v>111.4</v>
      </c>
      <c r="AD73">
        <v>110.6</v>
      </c>
      <c r="AE73">
        <v>112</v>
      </c>
      <c r="AF73">
        <v>109</v>
      </c>
      <c r="AG73">
        <v>111.3</v>
      </c>
      <c r="AH73">
        <v>114.2</v>
      </c>
      <c r="AI73" s="11">
        <f t="shared" si="9"/>
        <v>4.3975373790677216E-3</v>
      </c>
    </row>
    <row r="74" spans="1:35" x14ac:dyDescent="0.25">
      <c r="A74" t="s">
        <v>30</v>
      </c>
      <c r="B74">
        <v>2015</v>
      </c>
      <c r="C74">
        <v>3</v>
      </c>
      <c r="D74" s="13">
        <f t="shared" si="5"/>
        <v>42064</v>
      </c>
      <c r="E74">
        <v>123.3</v>
      </c>
      <c r="F74">
        <v>124.7</v>
      </c>
      <c r="G74">
        <v>118.9</v>
      </c>
      <c r="H74">
        <v>126</v>
      </c>
      <c r="I74">
        <v>111.8</v>
      </c>
      <c r="J74">
        <v>130.9</v>
      </c>
      <c r="K74">
        <v>128</v>
      </c>
      <c r="L74">
        <v>119.9</v>
      </c>
      <c r="M74">
        <v>98.9</v>
      </c>
      <c r="N74">
        <v>119.4</v>
      </c>
      <c r="O74">
        <v>118.9</v>
      </c>
      <c r="P74">
        <v>127.7</v>
      </c>
      <c r="Q74">
        <v>123.1</v>
      </c>
      <c r="R74" s="12">
        <f t="shared" si="6"/>
        <v>6.0292850990525414E-2</v>
      </c>
      <c r="S74">
        <v>124.7</v>
      </c>
      <c r="T74">
        <v>126</v>
      </c>
      <c r="U74">
        <v>122.9</v>
      </c>
      <c r="V74">
        <v>125.5</v>
      </c>
      <c r="W74" t="s">
        <v>31</v>
      </c>
      <c r="X74">
        <v>120.6</v>
      </c>
      <c r="Y74" s="12">
        <f t="shared" si="7"/>
        <v>7.1999999999999953E-2</v>
      </c>
      <c r="Z74">
        <v>120.2</v>
      </c>
      <c r="AA74">
        <v>118.2</v>
      </c>
      <c r="AB74" s="12">
        <f t="shared" si="8"/>
        <v>6.2949640287769781E-2</v>
      </c>
      <c r="AC74">
        <v>111.6</v>
      </c>
      <c r="AD74">
        <v>115.5</v>
      </c>
      <c r="AE74">
        <v>119.4</v>
      </c>
      <c r="AF74">
        <v>110.8</v>
      </c>
      <c r="AG74">
        <v>115.5</v>
      </c>
      <c r="AH74">
        <v>121.1</v>
      </c>
      <c r="AI74" s="11">
        <f t="shared" si="9"/>
        <v>6.0420315236427241E-2</v>
      </c>
    </row>
    <row r="75" spans="1:35" x14ac:dyDescent="0.25">
      <c r="A75" t="s">
        <v>32</v>
      </c>
      <c r="B75">
        <v>2015</v>
      </c>
      <c r="C75">
        <v>3</v>
      </c>
      <c r="D75" s="13">
        <f t="shared" si="5"/>
        <v>42064</v>
      </c>
      <c r="E75">
        <v>124</v>
      </c>
      <c r="F75">
        <v>126.7</v>
      </c>
      <c r="G75">
        <v>113.5</v>
      </c>
      <c r="H75">
        <v>125.9</v>
      </c>
      <c r="I75">
        <v>104.8</v>
      </c>
      <c r="J75">
        <v>123.8</v>
      </c>
      <c r="K75">
        <v>131.4</v>
      </c>
      <c r="L75">
        <v>127.2</v>
      </c>
      <c r="M75">
        <v>93.2</v>
      </c>
      <c r="N75">
        <v>127.4</v>
      </c>
      <c r="O75">
        <v>117</v>
      </c>
      <c r="P75">
        <v>129.19999999999999</v>
      </c>
      <c r="Q75">
        <v>123.9</v>
      </c>
      <c r="R75" s="12">
        <f t="shared" si="6"/>
        <v>6.4987814784728789E-3</v>
      </c>
      <c r="S75">
        <v>128.80000000000001</v>
      </c>
      <c r="T75">
        <v>121.7</v>
      </c>
      <c r="U75">
        <v>116.9</v>
      </c>
      <c r="V75">
        <v>120.9</v>
      </c>
      <c r="W75">
        <v>118.6</v>
      </c>
      <c r="X75">
        <v>114.4</v>
      </c>
      <c r="Y75" s="12">
        <f t="shared" si="7"/>
        <v>-5.1409618573797583E-2</v>
      </c>
      <c r="Z75">
        <v>118</v>
      </c>
      <c r="AA75">
        <v>114.3</v>
      </c>
      <c r="AB75" s="12">
        <f t="shared" si="8"/>
        <v>-3.2994923857868071E-2</v>
      </c>
      <c r="AC75">
        <v>108.4</v>
      </c>
      <c r="AD75">
        <v>115.4</v>
      </c>
      <c r="AE75">
        <v>120.6</v>
      </c>
      <c r="AF75">
        <v>111.3</v>
      </c>
      <c r="AG75">
        <v>113.8</v>
      </c>
      <c r="AH75">
        <v>119.1</v>
      </c>
      <c r="AI75" s="11">
        <f t="shared" si="9"/>
        <v>-1.6515276630883566E-2</v>
      </c>
    </row>
    <row r="76" spans="1:35" x14ac:dyDescent="0.25">
      <c r="A76" t="s">
        <v>33</v>
      </c>
      <c r="B76">
        <v>2015</v>
      </c>
      <c r="C76">
        <v>3</v>
      </c>
      <c r="D76" s="13">
        <f t="shared" si="5"/>
        <v>42064</v>
      </c>
      <c r="E76">
        <v>123.5</v>
      </c>
      <c r="F76">
        <v>125.4</v>
      </c>
      <c r="G76">
        <v>116.8</v>
      </c>
      <c r="H76">
        <v>126</v>
      </c>
      <c r="I76">
        <v>109.2</v>
      </c>
      <c r="J76">
        <v>127.6</v>
      </c>
      <c r="K76">
        <v>129.19999999999999</v>
      </c>
      <c r="L76">
        <v>122.4</v>
      </c>
      <c r="M76">
        <v>97</v>
      </c>
      <c r="N76">
        <v>122.1</v>
      </c>
      <c r="O76">
        <v>118.1</v>
      </c>
      <c r="P76">
        <v>128.4</v>
      </c>
      <c r="Q76">
        <v>123.4</v>
      </c>
      <c r="R76" s="12">
        <f t="shared" si="6"/>
        <v>-4.0355125100887809E-3</v>
      </c>
      <c r="S76">
        <v>125.8</v>
      </c>
      <c r="T76">
        <v>124.3</v>
      </c>
      <c r="U76">
        <v>120.4</v>
      </c>
      <c r="V76">
        <v>123.7</v>
      </c>
      <c r="W76">
        <v>118.6</v>
      </c>
      <c r="X76">
        <v>118.3</v>
      </c>
      <c r="Y76" s="12">
        <f t="shared" si="7"/>
        <v>3.4090909090909012E-2</v>
      </c>
      <c r="Z76">
        <v>119.2</v>
      </c>
      <c r="AA76">
        <v>116.7</v>
      </c>
      <c r="AB76" s="12">
        <f t="shared" si="8"/>
        <v>2.0997375328084041E-2</v>
      </c>
      <c r="AC76">
        <v>109.9</v>
      </c>
      <c r="AD76">
        <v>115.4</v>
      </c>
      <c r="AE76">
        <v>120.1</v>
      </c>
      <c r="AF76">
        <v>111</v>
      </c>
      <c r="AG76">
        <v>114.7</v>
      </c>
      <c r="AH76">
        <v>120.2</v>
      </c>
      <c r="AI76" s="11">
        <f t="shared" si="9"/>
        <v>9.2359361880773178E-3</v>
      </c>
    </row>
    <row r="77" spans="1:35" x14ac:dyDescent="0.25">
      <c r="A77" t="s">
        <v>30</v>
      </c>
      <c r="B77">
        <v>2016</v>
      </c>
      <c r="C77">
        <v>3</v>
      </c>
      <c r="D77" s="13">
        <f t="shared" si="5"/>
        <v>42430</v>
      </c>
      <c r="E77">
        <v>127.3</v>
      </c>
      <c r="F77">
        <v>134.4</v>
      </c>
      <c r="G77">
        <v>125.1</v>
      </c>
      <c r="H77">
        <v>130.5</v>
      </c>
      <c r="I77">
        <v>118.3</v>
      </c>
      <c r="J77">
        <v>131.69999999999999</v>
      </c>
      <c r="K77">
        <v>130.69999999999999</v>
      </c>
      <c r="L77">
        <v>161.19999999999999</v>
      </c>
      <c r="M77">
        <v>100.4</v>
      </c>
      <c r="N77">
        <v>130.80000000000001</v>
      </c>
      <c r="O77">
        <v>124.9</v>
      </c>
      <c r="P77">
        <v>137</v>
      </c>
      <c r="Q77">
        <v>130.4</v>
      </c>
      <c r="R77" s="12">
        <f t="shared" si="6"/>
        <v>5.6726094003241488E-2</v>
      </c>
      <c r="S77">
        <v>135</v>
      </c>
      <c r="T77">
        <v>134.4</v>
      </c>
      <c r="U77">
        <v>130.19999999999999</v>
      </c>
      <c r="V77">
        <v>133.80000000000001</v>
      </c>
      <c r="W77" t="s">
        <v>31</v>
      </c>
      <c r="X77">
        <v>127</v>
      </c>
      <c r="Y77" s="12">
        <f t="shared" si="7"/>
        <v>7.3541842772612026E-2</v>
      </c>
      <c r="Z77">
        <v>127.7</v>
      </c>
      <c r="AA77">
        <v>124.8</v>
      </c>
      <c r="AB77" s="12">
        <f t="shared" si="8"/>
        <v>6.9408740359897123E-2</v>
      </c>
      <c r="AC77">
        <v>113.6</v>
      </c>
      <c r="AD77">
        <v>122.5</v>
      </c>
      <c r="AE77">
        <v>127.5</v>
      </c>
      <c r="AF77">
        <v>117.4</v>
      </c>
      <c r="AG77">
        <v>121.1</v>
      </c>
      <c r="AH77">
        <v>128</v>
      </c>
      <c r="AI77" s="11">
        <f t="shared" si="9"/>
        <v>6.4891846921796975E-2</v>
      </c>
    </row>
    <row r="78" spans="1:35" x14ac:dyDescent="0.25">
      <c r="A78" t="s">
        <v>32</v>
      </c>
      <c r="B78">
        <v>2016</v>
      </c>
      <c r="C78">
        <v>3</v>
      </c>
      <c r="D78" s="13">
        <f t="shared" si="5"/>
        <v>42430</v>
      </c>
      <c r="E78">
        <v>124.8</v>
      </c>
      <c r="F78">
        <v>136.30000000000001</v>
      </c>
      <c r="G78">
        <v>123.7</v>
      </c>
      <c r="H78">
        <v>129.69999999999999</v>
      </c>
      <c r="I78">
        <v>107.9</v>
      </c>
      <c r="J78">
        <v>119.9</v>
      </c>
      <c r="K78">
        <v>128.1</v>
      </c>
      <c r="L78">
        <v>170.3</v>
      </c>
      <c r="M78">
        <v>101.8</v>
      </c>
      <c r="N78">
        <v>140.1</v>
      </c>
      <c r="O78">
        <v>120.7</v>
      </c>
      <c r="P78">
        <v>135.4</v>
      </c>
      <c r="Q78">
        <v>128.9</v>
      </c>
      <c r="R78" s="12">
        <f t="shared" si="6"/>
        <v>-1.1503067484662576E-2</v>
      </c>
      <c r="S78">
        <v>140.6</v>
      </c>
      <c r="T78">
        <v>126.4</v>
      </c>
      <c r="U78">
        <v>120.3</v>
      </c>
      <c r="V78">
        <v>125.5</v>
      </c>
      <c r="W78">
        <v>124.9</v>
      </c>
      <c r="X78">
        <v>114.8</v>
      </c>
      <c r="Y78" s="12">
        <f t="shared" si="7"/>
        <v>-9.6062992125984278E-2</v>
      </c>
      <c r="Z78">
        <v>122.3</v>
      </c>
      <c r="AA78">
        <v>119.7</v>
      </c>
      <c r="AB78" s="12">
        <f t="shared" si="8"/>
        <v>-4.0865384615384567E-2</v>
      </c>
      <c r="AC78">
        <v>108.5</v>
      </c>
      <c r="AD78">
        <v>119.1</v>
      </c>
      <c r="AE78">
        <v>126.4</v>
      </c>
      <c r="AF78">
        <v>117.1</v>
      </c>
      <c r="AG78">
        <v>117.3</v>
      </c>
      <c r="AH78">
        <v>123.8</v>
      </c>
      <c r="AI78" s="11">
        <f t="shared" si="9"/>
        <v>-3.2812500000000022E-2</v>
      </c>
    </row>
    <row r="79" spans="1:35" x14ac:dyDescent="0.25">
      <c r="A79" t="s">
        <v>33</v>
      </c>
      <c r="B79">
        <v>2016</v>
      </c>
      <c r="C79">
        <v>3</v>
      </c>
      <c r="D79" s="13">
        <f t="shared" si="5"/>
        <v>42430</v>
      </c>
      <c r="E79">
        <v>126.5</v>
      </c>
      <c r="F79">
        <v>135.1</v>
      </c>
      <c r="G79">
        <v>124.6</v>
      </c>
      <c r="H79">
        <v>130.19999999999999</v>
      </c>
      <c r="I79">
        <v>114.5</v>
      </c>
      <c r="J79">
        <v>126.2</v>
      </c>
      <c r="K79">
        <v>129.80000000000001</v>
      </c>
      <c r="L79">
        <v>164.3</v>
      </c>
      <c r="M79">
        <v>100.9</v>
      </c>
      <c r="N79">
        <v>133.9</v>
      </c>
      <c r="O79">
        <v>123.1</v>
      </c>
      <c r="P79">
        <v>136.30000000000001</v>
      </c>
      <c r="Q79">
        <v>129.80000000000001</v>
      </c>
      <c r="R79" s="12">
        <f t="shared" si="6"/>
        <v>6.9821567106284378E-3</v>
      </c>
      <c r="S79">
        <v>136.5</v>
      </c>
      <c r="T79">
        <v>131.30000000000001</v>
      </c>
      <c r="U79">
        <v>126.1</v>
      </c>
      <c r="V79">
        <v>130.5</v>
      </c>
      <c r="W79">
        <v>124.9</v>
      </c>
      <c r="X79">
        <v>122.4</v>
      </c>
      <c r="Y79" s="12">
        <f t="shared" si="7"/>
        <v>6.6202090592334575E-2</v>
      </c>
      <c r="Z79">
        <v>125.1</v>
      </c>
      <c r="AA79">
        <v>122.9</v>
      </c>
      <c r="AB79" s="12">
        <f t="shared" si="8"/>
        <v>2.6733500417710967E-2</v>
      </c>
      <c r="AC79">
        <v>110.9</v>
      </c>
      <c r="AD79">
        <v>120.6</v>
      </c>
      <c r="AE79">
        <v>126.9</v>
      </c>
      <c r="AF79">
        <v>117.3</v>
      </c>
      <c r="AG79">
        <v>119.3</v>
      </c>
      <c r="AH79">
        <v>126</v>
      </c>
      <c r="AI79" s="11">
        <f t="shared" si="9"/>
        <v>1.7770597738287583E-2</v>
      </c>
    </row>
    <row r="80" spans="1:35" x14ac:dyDescent="0.25">
      <c r="A80" t="s">
        <v>30</v>
      </c>
      <c r="B80">
        <v>2017</v>
      </c>
      <c r="C80">
        <v>3</v>
      </c>
      <c r="D80" s="13">
        <f t="shared" si="5"/>
        <v>42795</v>
      </c>
      <c r="E80">
        <v>133.6</v>
      </c>
      <c r="F80">
        <v>138.80000000000001</v>
      </c>
      <c r="G80">
        <v>128.80000000000001</v>
      </c>
      <c r="H80">
        <v>137.19999999999999</v>
      </c>
      <c r="I80">
        <v>121.6</v>
      </c>
      <c r="J80">
        <v>139.69999999999999</v>
      </c>
      <c r="K80">
        <v>119.7</v>
      </c>
      <c r="L80">
        <v>148</v>
      </c>
      <c r="M80">
        <v>116.9</v>
      </c>
      <c r="N80">
        <v>135.6</v>
      </c>
      <c r="O80">
        <v>129.80000000000001</v>
      </c>
      <c r="P80">
        <v>145.4</v>
      </c>
      <c r="Q80">
        <v>133.4</v>
      </c>
      <c r="R80" s="12">
        <f t="shared" si="6"/>
        <v>2.7734976887519216E-2</v>
      </c>
      <c r="S80">
        <v>144.19999999999999</v>
      </c>
      <c r="T80">
        <v>141.6</v>
      </c>
      <c r="U80">
        <v>136.19999999999999</v>
      </c>
      <c r="V80">
        <v>140.80000000000001</v>
      </c>
      <c r="W80" t="s">
        <v>31</v>
      </c>
      <c r="X80">
        <v>134.19999999999999</v>
      </c>
      <c r="Y80" s="12">
        <f t="shared" si="7"/>
        <v>9.6405228758169786E-2</v>
      </c>
      <c r="Z80">
        <v>134.1</v>
      </c>
      <c r="AA80">
        <v>130.6</v>
      </c>
      <c r="AB80" s="12">
        <f t="shared" si="8"/>
        <v>6.2652563059397787E-2</v>
      </c>
      <c r="AC80">
        <v>119.8</v>
      </c>
      <c r="AD80">
        <v>128.30000000000001</v>
      </c>
      <c r="AE80">
        <v>135.19999999999999</v>
      </c>
      <c r="AF80">
        <v>123.3</v>
      </c>
      <c r="AG80">
        <v>127.4</v>
      </c>
      <c r="AH80">
        <v>132.80000000000001</v>
      </c>
      <c r="AI80" s="11">
        <f t="shared" si="9"/>
        <v>5.3968253968254061E-2</v>
      </c>
    </row>
    <row r="81" spans="1:35" x14ac:dyDescent="0.25">
      <c r="A81" t="s">
        <v>32</v>
      </c>
      <c r="B81">
        <v>2017</v>
      </c>
      <c r="C81">
        <v>3</v>
      </c>
      <c r="D81" s="13">
        <f t="shared" si="5"/>
        <v>42795</v>
      </c>
      <c r="E81">
        <v>132.69999999999999</v>
      </c>
      <c r="F81">
        <v>139.4</v>
      </c>
      <c r="G81">
        <v>128.4</v>
      </c>
      <c r="H81">
        <v>134.9</v>
      </c>
      <c r="I81">
        <v>114</v>
      </c>
      <c r="J81">
        <v>136.80000000000001</v>
      </c>
      <c r="K81">
        <v>122.2</v>
      </c>
      <c r="L81">
        <v>135.80000000000001</v>
      </c>
      <c r="M81">
        <v>120.3</v>
      </c>
      <c r="N81">
        <v>142.6</v>
      </c>
      <c r="O81">
        <v>123.6</v>
      </c>
      <c r="P81">
        <v>142.4</v>
      </c>
      <c r="Q81">
        <v>132.6</v>
      </c>
      <c r="R81" s="12">
        <f t="shared" si="6"/>
        <v>-5.9970014992504596E-3</v>
      </c>
      <c r="S81">
        <v>147.5</v>
      </c>
      <c r="T81">
        <v>130.80000000000001</v>
      </c>
      <c r="U81">
        <v>122.8</v>
      </c>
      <c r="V81">
        <v>129.6</v>
      </c>
      <c r="W81">
        <v>131.1</v>
      </c>
      <c r="X81">
        <v>120.8</v>
      </c>
      <c r="Y81" s="12">
        <f t="shared" si="7"/>
        <v>-9.9850968703427662E-2</v>
      </c>
      <c r="Z81">
        <v>125.6</v>
      </c>
      <c r="AA81">
        <v>123.1</v>
      </c>
      <c r="AB81" s="12">
        <f t="shared" si="8"/>
        <v>-5.7427258805513019E-2</v>
      </c>
      <c r="AC81">
        <v>115.6</v>
      </c>
      <c r="AD81">
        <v>122.4</v>
      </c>
      <c r="AE81">
        <v>132.80000000000001</v>
      </c>
      <c r="AF81">
        <v>121.7</v>
      </c>
      <c r="AG81">
        <v>122.6</v>
      </c>
      <c r="AH81">
        <v>128.69999999999999</v>
      </c>
      <c r="AI81" s="11">
        <f t="shared" si="9"/>
        <v>-3.0873493975903783E-2</v>
      </c>
    </row>
    <row r="82" spans="1:35" x14ac:dyDescent="0.25">
      <c r="A82" t="s">
        <v>33</v>
      </c>
      <c r="B82">
        <v>2017</v>
      </c>
      <c r="C82">
        <v>3</v>
      </c>
      <c r="D82" s="13">
        <f t="shared" si="5"/>
        <v>42795</v>
      </c>
      <c r="E82">
        <v>133.30000000000001</v>
      </c>
      <c r="F82">
        <v>139</v>
      </c>
      <c r="G82">
        <v>128.6</v>
      </c>
      <c r="H82">
        <v>136.30000000000001</v>
      </c>
      <c r="I82">
        <v>118.8</v>
      </c>
      <c r="J82">
        <v>138.30000000000001</v>
      </c>
      <c r="K82">
        <v>120.5</v>
      </c>
      <c r="L82">
        <v>143.9</v>
      </c>
      <c r="M82">
        <v>118</v>
      </c>
      <c r="N82">
        <v>137.9</v>
      </c>
      <c r="O82">
        <v>127.2</v>
      </c>
      <c r="P82">
        <v>144</v>
      </c>
      <c r="Q82">
        <v>133.1</v>
      </c>
      <c r="R82" s="12">
        <f t="shared" si="6"/>
        <v>3.770739064856712E-3</v>
      </c>
      <c r="S82">
        <v>145.1</v>
      </c>
      <c r="T82">
        <v>137.30000000000001</v>
      </c>
      <c r="U82">
        <v>130.6</v>
      </c>
      <c r="V82">
        <v>136.4</v>
      </c>
      <c r="W82">
        <v>131.1</v>
      </c>
      <c r="X82">
        <v>129.1</v>
      </c>
      <c r="Y82" s="12">
        <f t="shared" si="7"/>
        <v>6.8708609271523155E-2</v>
      </c>
      <c r="Z82">
        <v>130.1</v>
      </c>
      <c r="AA82">
        <v>127.8</v>
      </c>
      <c r="AB82" s="12">
        <f t="shared" si="8"/>
        <v>3.8180341186027644E-2</v>
      </c>
      <c r="AC82">
        <v>117.6</v>
      </c>
      <c r="AD82">
        <v>125</v>
      </c>
      <c r="AE82">
        <v>133.80000000000001</v>
      </c>
      <c r="AF82">
        <v>122.6</v>
      </c>
      <c r="AG82">
        <v>125.1</v>
      </c>
      <c r="AH82">
        <v>130.9</v>
      </c>
      <c r="AI82" s="11">
        <f t="shared" si="9"/>
        <v>1.7094017094017228E-2</v>
      </c>
    </row>
    <row r="83" spans="1:35" x14ac:dyDescent="0.25">
      <c r="A83" t="s">
        <v>30</v>
      </c>
      <c r="B83">
        <v>2018</v>
      </c>
      <c r="C83">
        <v>3</v>
      </c>
      <c r="D83" s="13">
        <f t="shared" si="5"/>
        <v>43160</v>
      </c>
      <c r="E83">
        <v>136.80000000000001</v>
      </c>
      <c r="F83">
        <v>143.80000000000001</v>
      </c>
      <c r="G83">
        <v>140</v>
      </c>
      <c r="H83">
        <v>142</v>
      </c>
      <c r="I83">
        <v>123.2</v>
      </c>
      <c r="J83">
        <v>152.9</v>
      </c>
      <c r="K83">
        <v>138</v>
      </c>
      <c r="L83">
        <v>129.30000000000001</v>
      </c>
      <c r="M83">
        <v>117.1</v>
      </c>
      <c r="N83">
        <v>136.30000000000001</v>
      </c>
      <c r="O83">
        <v>131.19999999999999</v>
      </c>
      <c r="P83">
        <v>152.80000000000001</v>
      </c>
      <c r="Q83">
        <v>138.6</v>
      </c>
      <c r="R83" s="12">
        <f t="shared" si="6"/>
        <v>4.1322314049586778E-2</v>
      </c>
      <c r="S83">
        <v>155.1</v>
      </c>
      <c r="T83">
        <v>149.19999999999999</v>
      </c>
      <c r="U83">
        <v>143</v>
      </c>
      <c r="V83">
        <v>148.30000000000001</v>
      </c>
      <c r="W83" t="s">
        <v>31</v>
      </c>
      <c r="X83">
        <v>142.6</v>
      </c>
      <c r="Y83" s="12">
        <f t="shared" si="7"/>
        <v>0.104570100697134</v>
      </c>
      <c r="Z83">
        <v>139.9</v>
      </c>
      <c r="AA83">
        <v>136.69999999999999</v>
      </c>
      <c r="AB83" s="12">
        <f t="shared" si="8"/>
        <v>6.9640062597809013E-2</v>
      </c>
      <c r="AC83">
        <v>124.6</v>
      </c>
      <c r="AD83">
        <v>135.1</v>
      </c>
      <c r="AE83">
        <v>142.69999999999999</v>
      </c>
      <c r="AF83">
        <v>129.30000000000001</v>
      </c>
      <c r="AG83">
        <v>133.30000000000001</v>
      </c>
      <c r="AH83">
        <v>138.69999999999999</v>
      </c>
      <c r="AI83" s="11">
        <f t="shared" si="9"/>
        <v>5.9587471352177103E-2</v>
      </c>
    </row>
    <row r="84" spans="1:35" x14ac:dyDescent="0.25">
      <c r="A84" t="s">
        <v>32</v>
      </c>
      <c r="B84">
        <v>2018</v>
      </c>
      <c r="C84">
        <v>3</v>
      </c>
      <c r="D84" s="13">
        <f t="shared" si="5"/>
        <v>43160</v>
      </c>
      <c r="E84">
        <v>135</v>
      </c>
      <c r="F84">
        <v>143.1</v>
      </c>
      <c r="G84">
        <v>135.5</v>
      </c>
      <c r="H84">
        <v>139.9</v>
      </c>
      <c r="I84">
        <v>116.5</v>
      </c>
      <c r="J84">
        <v>138.5</v>
      </c>
      <c r="K84">
        <v>128</v>
      </c>
      <c r="L84">
        <v>115.5</v>
      </c>
      <c r="M84">
        <v>114.2</v>
      </c>
      <c r="N84">
        <v>140.69999999999999</v>
      </c>
      <c r="O84">
        <v>126.2</v>
      </c>
      <c r="P84">
        <v>147.6</v>
      </c>
      <c r="Q84">
        <v>134.80000000000001</v>
      </c>
      <c r="R84" s="12">
        <f t="shared" si="6"/>
        <v>-2.7417027417027295E-2</v>
      </c>
      <c r="S84">
        <v>159.69999999999999</v>
      </c>
      <c r="T84">
        <v>136.69999999999999</v>
      </c>
      <c r="U84">
        <v>126.7</v>
      </c>
      <c r="V84">
        <v>135.19999999999999</v>
      </c>
      <c r="W84">
        <v>142</v>
      </c>
      <c r="X84">
        <v>126.4</v>
      </c>
      <c r="Y84" s="12">
        <f t="shared" si="7"/>
        <v>-0.1136044880785413</v>
      </c>
      <c r="Z84">
        <v>130.80000000000001</v>
      </c>
      <c r="AA84">
        <v>130.5</v>
      </c>
      <c r="AB84" s="12">
        <f t="shared" si="8"/>
        <v>-4.5354791514264733E-2</v>
      </c>
      <c r="AC84">
        <v>117.8</v>
      </c>
      <c r="AD84">
        <v>126.8</v>
      </c>
      <c r="AE84">
        <v>137.80000000000001</v>
      </c>
      <c r="AF84">
        <v>126.7</v>
      </c>
      <c r="AG84">
        <v>127.1</v>
      </c>
      <c r="AH84">
        <v>134</v>
      </c>
      <c r="AI84" s="11">
        <f t="shared" si="9"/>
        <v>-3.3886085075702878E-2</v>
      </c>
    </row>
    <row r="85" spans="1:35" x14ac:dyDescent="0.25">
      <c r="A85" t="s">
        <v>33</v>
      </c>
      <c r="B85">
        <v>2018</v>
      </c>
      <c r="C85">
        <v>3</v>
      </c>
      <c r="D85" s="13">
        <f t="shared" si="5"/>
        <v>43160</v>
      </c>
      <c r="E85">
        <v>136.19999999999999</v>
      </c>
      <c r="F85">
        <v>143.6</v>
      </c>
      <c r="G85">
        <v>138.30000000000001</v>
      </c>
      <c r="H85">
        <v>141.19999999999999</v>
      </c>
      <c r="I85">
        <v>120.7</v>
      </c>
      <c r="J85">
        <v>146.19999999999999</v>
      </c>
      <c r="K85">
        <v>134.6</v>
      </c>
      <c r="L85">
        <v>124.6</v>
      </c>
      <c r="M85">
        <v>116.1</v>
      </c>
      <c r="N85">
        <v>137.80000000000001</v>
      </c>
      <c r="O85">
        <v>129.1</v>
      </c>
      <c r="P85">
        <v>150.4</v>
      </c>
      <c r="Q85">
        <v>137.19999999999999</v>
      </c>
      <c r="R85" s="12">
        <f t="shared" si="6"/>
        <v>1.7804154302670454E-2</v>
      </c>
      <c r="S85">
        <v>156.30000000000001</v>
      </c>
      <c r="T85">
        <v>144.30000000000001</v>
      </c>
      <c r="U85">
        <v>136.19999999999999</v>
      </c>
      <c r="V85">
        <v>143.1</v>
      </c>
      <c r="W85">
        <v>142</v>
      </c>
      <c r="X85">
        <v>136.5</v>
      </c>
      <c r="Y85" s="12">
        <f t="shared" si="7"/>
        <v>7.9905063291139194E-2</v>
      </c>
      <c r="Z85">
        <v>135.6</v>
      </c>
      <c r="AA85">
        <v>134.30000000000001</v>
      </c>
      <c r="AB85" s="12">
        <f t="shared" si="8"/>
        <v>2.9118773946360241E-2</v>
      </c>
      <c r="AC85">
        <v>121</v>
      </c>
      <c r="AD85">
        <v>130.4</v>
      </c>
      <c r="AE85">
        <v>139.80000000000001</v>
      </c>
      <c r="AF85">
        <v>128.19999999999999</v>
      </c>
      <c r="AG85">
        <v>130.30000000000001</v>
      </c>
      <c r="AH85">
        <v>136.5</v>
      </c>
      <c r="AI85" s="11">
        <f t="shared" si="9"/>
        <v>1.8656716417910446E-2</v>
      </c>
    </row>
    <row r="86" spans="1:35" x14ac:dyDescent="0.25">
      <c r="A86" t="s">
        <v>30</v>
      </c>
      <c r="B86">
        <v>2019</v>
      </c>
      <c r="C86">
        <v>3</v>
      </c>
      <c r="D86" s="13">
        <f t="shared" si="5"/>
        <v>43525</v>
      </c>
      <c r="E86">
        <v>136.9</v>
      </c>
      <c r="F86">
        <v>154.1</v>
      </c>
      <c r="G86">
        <v>138.69999999999999</v>
      </c>
      <c r="H86">
        <v>142.5</v>
      </c>
      <c r="I86">
        <v>124.1</v>
      </c>
      <c r="J86">
        <v>136.1</v>
      </c>
      <c r="K86">
        <v>128.19999999999999</v>
      </c>
      <c r="L86">
        <v>122.3</v>
      </c>
      <c r="M86">
        <v>108.3</v>
      </c>
      <c r="N86">
        <v>138.9</v>
      </c>
      <c r="O86">
        <v>137.4</v>
      </c>
      <c r="P86">
        <v>156.4</v>
      </c>
      <c r="Q86">
        <v>137.30000000000001</v>
      </c>
      <c r="R86" s="12">
        <f t="shared" si="6"/>
        <v>7.2886297376109871E-4</v>
      </c>
      <c r="S86">
        <v>162.9</v>
      </c>
      <c r="T86">
        <v>150.80000000000001</v>
      </c>
      <c r="U86">
        <v>146.1</v>
      </c>
      <c r="V86">
        <v>150.1</v>
      </c>
      <c r="W86" t="s">
        <v>31</v>
      </c>
      <c r="X86">
        <v>146.4</v>
      </c>
      <c r="Y86" s="12">
        <f t="shared" si="7"/>
        <v>7.2527472527472575E-2</v>
      </c>
      <c r="Z86">
        <v>150</v>
      </c>
      <c r="AA86">
        <v>150.4</v>
      </c>
      <c r="AB86" s="12">
        <f t="shared" si="8"/>
        <v>0.11988086373790018</v>
      </c>
      <c r="AC86">
        <v>129.9</v>
      </c>
      <c r="AD86">
        <v>143.80000000000001</v>
      </c>
      <c r="AE86">
        <v>155.5</v>
      </c>
      <c r="AF86">
        <v>134</v>
      </c>
      <c r="AG86">
        <v>142.4</v>
      </c>
      <c r="AH86">
        <v>141.19999999999999</v>
      </c>
      <c r="AI86" s="11">
        <f t="shared" si="9"/>
        <v>3.4432234432234352E-2</v>
      </c>
    </row>
    <row r="87" spans="1:35" x14ac:dyDescent="0.25">
      <c r="A87" t="s">
        <v>32</v>
      </c>
      <c r="B87">
        <v>2019</v>
      </c>
      <c r="C87">
        <v>3</v>
      </c>
      <c r="D87" s="13">
        <f t="shared" si="5"/>
        <v>43525</v>
      </c>
      <c r="E87">
        <v>139.69999999999999</v>
      </c>
      <c r="F87">
        <v>151.1</v>
      </c>
      <c r="G87">
        <v>142.9</v>
      </c>
      <c r="H87">
        <v>141.9</v>
      </c>
      <c r="I87">
        <v>118.4</v>
      </c>
      <c r="J87">
        <v>139.4</v>
      </c>
      <c r="K87">
        <v>141.19999999999999</v>
      </c>
      <c r="L87">
        <v>120.7</v>
      </c>
      <c r="M87">
        <v>110.4</v>
      </c>
      <c r="N87">
        <v>140.69999999999999</v>
      </c>
      <c r="O87">
        <v>128.5</v>
      </c>
      <c r="P87">
        <v>153.9</v>
      </c>
      <c r="Q87">
        <v>139.6</v>
      </c>
      <c r="R87" s="12">
        <f t="shared" si="6"/>
        <v>1.6751638747268628E-2</v>
      </c>
      <c r="S87">
        <v>165.3</v>
      </c>
      <c r="T87">
        <v>143.5</v>
      </c>
      <c r="U87">
        <v>131.19999999999999</v>
      </c>
      <c r="V87">
        <v>141.6</v>
      </c>
      <c r="W87">
        <v>149</v>
      </c>
      <c r="X87">
        <v>128.80000000000001</v>
      </c>
      <c r="Y87" s="12">
        <f t="shared" si="7"/>
        <v>-0.12021857923497263</v>
      </c>
      <c r="Z87">
        <v>136.80000000000001</v>
      </c>
      <c r="AA87">
        <v>139.19999999999999</v>
      </c>
      <c r="AB87" s="12">
        <f t="shared" si="8"/>
        <v>-7.4468085106383086E-2</v>
      </c>
      <c r="AC87">
        <v>119.9</v>
      </c>
      <c r="AD87">
        <v>133</v>
      </c>
      <c r="AE87">
        <v>146.69999999999999</v>
      </c>
      <c r="AF87">
        <v>132.5</v>
      </c>
      <c r="AG87">
        <v>132.80000000000001</v>
      </c>
      <c r="AH87">
        <v>139.5</v>
      </c>
      <c r="AI87" s="11">
        <f t="shared" si="9"/>
        <v>-1.2039660056657145E-2</v>
      </c>
    </row>
    <row r="88" spans="1:35" x14ac:dyDescent="0.25">
      <c r="A88" t="s">
        <v>33</v>
      </c>
      <c r="B88">
        <v>2019</v>
      </c>
      <c r="C88">
        <v>3</v>
      </c>
      <c r="D88" s="13">
        <f t="shared" si="5"/>
        <v>43525</v>
      </c>
      <c r="E88">
        <v>137.80000000000001</v>
      </c>
      <c r="F88">
        <v>153</v>
      </c>
      <c r="G88">
        <v>140.30000000000001</v>
      </c>
      <c r="H88">
        <v>142.30000000000001</v>
      </c>
      <c r="I88">
        <v>122</v>
      </c>
      <c r="J88">
        <v>137.6</v>
      </c>
      <c r="K88">
        <v>132.6</v>
      </c>
      <c r="L88">
        <v>121.8</v>
      </c>
      <c r="M88">
        <v>109</v>
      </c>
      <c r="N88">
        <v>139.5</v>
      </c>
      <c r="O88">
        <v>133.69999999999999</v>
      </c>
      <c r="P88">
        <v>155.19999999999999</v>
      </c>
      <c r="Q88">
        <v>138.1</v>
      </c>
      <c r="R88" s="12">
        <f t="shared" si="6"/>
        <v>-1.0744985673352437E-2</v>
      </c>
      <c r="S88">
        <v>163.5</v>
      </c>
      <c r="T88">
        <v>147.9</v>
      </c>
      <c r="U88">
        <v>139.9</v>
      </c>
      <c r="V88">
        <v>146.69999999999999</v>
      </c>
      <c r="W88">
        <v>149</v>
      </c>
      <c r="X88">
        <v>139.69999999999999</v>
      </c>
      <c r="Y88" s="12">
        <f t="shared" si="7"/>
        <v>8.4627329192546397E-2</v>
      </c>
      <c r="Z88">
        <v>143.80000000000001</v>
      </c>
      <c r="AA88">
        <v>146.19999999999999</v>
      </c>
      <c r="AB88" s="12">
        <f t="shared" si="8"/>
        <v>5.0287356321839081E-2</v>
      </c>
      <c r="AC88">
        <v>124.6</v>
      </c>
      <c r="AD88">
        <v>137.69999999999999</v>
      </c>
      <c r="AE88">
        <v>150.30000000000001</v>
      </c>
      <c r="AF88">
        <v>133.4</v>
      </c>
      <c r="AG88">
        <v>137.69999999999999</v>
      </c>
      <c r="AH88">
        <v>140.4</v>
      </c>
      <c r="AI88" s="11">
        <f t="shared" si="9"/>
        <v>6.4516129032258472E-3</v>
      </c>
    </row>
    <row r="89" spans="1:35" x14ac:dyDescent="0.25">
      <c r="A89" t="s">
        <v>30</v>
      </c>
      <c r="B89">
        <v>2020</v>
      </c>
      <c r="C89">
        <v>3</v>
      </c>
      <c r="D89" s="13">
        <f t="shared" si="5"/>
        <v>43891</v>
      </c>
      <c r="E89">
        <v>144.4</v>
      </c>
      <c r="F89">
        <v>166.8</v>
      </c>
      <c r="G89">
        <v>147.6</v>
      </c>
      <c r="H89">
        <v>151.69999999999999</v>
      </c>
      <c r="I89">
        <v>133.30000000000001</v>
      </c>
      <c r="J89">
        <v>141.80000000000001</v>
      </c>
      <c r="K89">
        <v>152.30000000000001</v>
      </c>
      <c r="L89">
        <v>141.80000000000001</v>
      </c>
      <c r="M89">
        <v>112.6</v>
      </c>
      <c r="N89">
        <v>154</v>
      </c>
      <c r="O89">
        <v>140.1</v>
      </c>
      <c r="P89">
        <v>160</v>
      </c>
      <c r="Q89">
        <v>148.19999999999999</v>
      </c>
      <c r="R89" s="12">
        <f t="shared" si="6"/>
        <v>7.3135409123823283E-2</v>
      </c>
      <c r="S89">
        <v>170.5</v>
      </c>
      <c r="T89">
        <v>153.4</v>
      </c>
      <c r="U89">
        <v>147.6</v>
      </c>
      <c r="V89">
        <v>152.5</v>
      </c>
      <c r="W89" t="s">
        <v>31</v>
      </c>
      <c r="X89">
        <v>153.4</v>
      </c>
      <c r="Y89" s="12">
        <f t="shared" si="7"/>
        <v>9.806728704366513E-2</v>
      </c>
      <c r="Z89">
        <v>151.5</v>
      </c>
      <c r="AA89">
        <v>156.69999999999999</v>
      </c>
      <c r="AB89" s="12">
        <f t="shared" si="8"/>
        <v>7.1819425444596449E-2</v>
      </c>
      <c r="AC89">
        <v>135.80000000000001</v>
      </c>
      <c r="AD89">
        <v>151.19999999999999</v>
      </c>
      <c r="AE89">
        <v>161.19999999999999</v>
      </c>
      <c r="AF89">
        <v>145.1</v>
      </c>
      <c r="AG89">
        <v>148.6</v>
      </c>
      <c r="AH89">
        <v>149.80000000000001</v>
      </c>
      <c r="AI89" s="11">
        <f t="shared" si="9"/>
        <v>6.6951566951566996E-2</v>
      </c>
    </row>
    <row r="90" spans="1:35" x14ac:dyDescent="0.25">
      <c r="A90" t="s">
        <v>32</v>
      </c>
      <c r="B90">
        <v>2020</v>
      </c>
      <c r="C90">
        <v>3</v>
      </c>
      <c r="D90" s="13">
        <f t="shared" si="5"/>
        <v>43891</v>
      </c>
      <c r="E90">
        <v>146.5</v>
      </c>
      <c r="F90">
        <v>167.5</v>
      </c>
      <c r="G90">
        <v>148.9</v>
      </c>
      <c r="H90">
        <v>151.1</v>
      </c>
      <c r="I90">
        <v>127.5</v>
      </c>
      <c r="J90">
        <v>143.30000000000001</v>
      </c>
      <c r="K90">
        <v>167</v>
      </c>
      <c r="L90">
        <v>139.69999999999999</v>
      </c>
      <c r="M90">
        <v>114.4</v>
      </c>
      <c r="N90">
        <v>151.5</v>
      </c>
      <c r="O90">
        <v>131.9</v>
      </c>
      <c r="P90">
        <v>159.1</v>
      </c>
      <c r="Q90">
        <v>150.1</v>
      </c>
      <c r="R90" s="12">
        <f t="shared" si="6"/>
        <v>1.282051282051286E-2</v>
      </c>
      <c r="S90">
        <v>173.3</v>
      </c>
      <c r="T90">
        <v>147.69999999999999</v>
      </c>
      <c r="U90">
        <v>133.80000000000001</v>
      </c>
      <c r="V90">
        <v>145.6</v>
      </c>
      <c r="W90">
        <v>154.5</v>
      </c>
      <c r="X90">
        <v>141.4</v>
      </c>
      <c r="Y90" s="12">
        <f t="shared" si="7"/>
        <v>-7.822685788787484E-2</v>
      </c>
      <c r="Z90">
        <v>140.80000000000001</v>
      </c>
      <c r="AA90">
        <v>145</v>
      </c>
      <c r="AB90" s="12">
        <f t="shared" si="8"/>
        <v>-7.4664964901084804E-2</v>
      </c>
      <c r="AC90">
        <v>124.6</v>
      </c>
      <c r="AD90">
        <v>137.9</v>
      </c>
      <c r="AE90">
        <v>152.5</v>
      </c>
      <c r="AF90">
        <v>145.30000000000001</v>
      </c>
      <c r="AG90">
        <v>138.69999999999999</v>
      </c>
      <c r="AH90">
        <v>147.30000000000001</v>
      </c>
      <c r="AI90" s="11">
        <f t="shared" si="9"/>
        <v>-1.6688918558077435E-2</v>
      </c>
    </row>
    <row r="91" spans="1:35" x14ac:dyDescent="0.25">
      <c r="A91" t="s">
        <v>33</v>
      </c>
      <c r="B91">
        <v>2020</v>
      </c>
      <c r="C91">
        <v>3</v>
      </c>
      <c r="D91" s="13">
        <f t="shared" si="5"/>
        <v>43891</v>
      </c>
      <c r="E91">
        <v>145.1</v>
      </c>
      <c r="F91">
        <v>167</v>
      </c>
      <c r="G91">
        <v>148.1</v>
      </c>
      <c r="H91">
        <v>151.5</v>
      </c>
      <c r="I91">
        <v>131.19999999999999</v>
      </c>
      <c r="J91">
        <v>142.5</v>
      </c>
      <c r="K91">
        <v>157.30000000000001</v>
      </c>
      <c r="L91">
        <v>141.1</v>
      </c>
      <c r="M91">
        <v>113.2</v>
      </c>
      <c r="N91">
        <v>153.19999999999999</v>
      </c>
      <c r="O91">
        <v>136.69999999999999</v>
      </c>
      <c r="P91">
        <v>159.6</v>
      </c>
      <c r="Q91">
        <v>148.9</v>
      </c>
      <c r="R91" s="12">
        <f t="shared" si="6"/>
        <v>-7.9946702198533549E-3</v>
      </c>
      <c r="S91">
        <v>171.2</v>
      </c>
      <c r="T91">
        <v>151.19999999999999</v>
      </c>
      <c r="U91">
        <v>141.9</v>
      </c>
      <c r="V91">
        <v>149.80000000000001</v>
      </c>
      <c r="W91">
        <v>154.5</v>
      </c>
      <c r="X91">
        <v>148.9</v>
      </c>
      <c r="Y91" s="12">
        <f t="shared" si="7"/>
        <v>5.3041018387553041E-2</v>
      </c>
      <c r="Z91">
        <v>146.4</v>
      </c>
      <c r="AA91">
        <v>152.30000000000001</v>
      </c>
      <c r="AB91" s="12">
        <f t="shared" si="8"/>
        <v>5.0344827586206974E-2</v>
      </c>
      <c r="AC91">
        <v>129.9</v>
      </c>
      <c r="AD91">
        <v>143.69999999999999</v>
      </c>
      <c r="AE91">
        <v>156.1</v>
      </c>
      <c r="AF91">
        <v>145.19999999999999</v>
      </c>
      <c r="AG91">
        <v>143.80000000000001</v>
      </c>
      <c r="AH91">
        <v>148.6</v>
      </c>
      <c r="AI91" s="11">
        <f t="shared" si="9"/>
        <v>8.8255261371349824E-3</v>
      </c>
    </row>
    <row r="92" spans="1:35" x14ac:dyDescent="0.25">
      <c r="A92" t="s">
        <v>30</v>
      </c>
      <c r="B92">
        <v>2021</v>
      </c>
      <c r="C92">
        <v>3</v>
      </c>
      <c r="D92" s="13">
        <f t="shared" si="5"/>
        <v>44256</v>
      </c>
      <c r="E92">
        <v>142.5</v>
      </c>
      <c r="F92">
        <v>189.4</v>
      </c>
      <c r="G92">
        <v>163.19999999999999</v>
      </c>
      <c r="H92">
        <v>154.5</v>
      </c>
      <c r="I92">
        <v>168.2</v>
      </c>
      <c r="J92">
        <v>150.5</v>
      </c>
      <c r="K92">
        <v>141</v>
      </c>
      <c r="L92">
        <v>159.19999999999999</v>
      </c>
      <c r="M92">
        <v>111.7</v>
      </c>
      <c r="N92">
        <v>164</v>
      </c>
      <c r="O92">
        <v>160.6</v>
      </c>
      <c r="P92">
        <v>166.4</v>
      </c>
      <c r="Q92">
        <v>154.5</v>
      </c>
      <c r="R92" s="12">
        <f t="shared" si="6"/>
        <v>3.7609133646742739E-2</v>
      </c>
      <c r="S92">
        <v>186.1</v>
      </c>
      <c r="T92">
        <v>159.6</v>
      </c>
      <c r="U92">
        <v>154.4</v>
      </c>
      <c r="V92">
        <v>158.9</v>
      </c>
      <c r="W92" t="s">
        <v>31</v>
      </c>
      <c r="X92">
        <v>156</v>
      </c>
      <c r="Y92" s="12">
        <f t="shared" si="7"/>
        <v>4.7683008730691701E-2</v>
      </c>
      <c r="Z92">
        <v>154.80000000000001</v>
      </c>
      <c r="AA92">
        <v>164.6</v>
      </c>
      <c r="AB92" s="12">
        <f t="shared" si="8"/>
        <v>8.0761654629021545E-2</v>
      </c>
      <c r="AC92">
        <v>151.30000000000001</v>
      </c>
      <c r="AD92">
        <v>157.80000000000001</v>
      </c>
      <c r="AE92">
        <v>163.80000000000001</v>
      </c>
      <c r="AF92">
        <v>153.1</v>
      </c>
      <c r="AG92">
        <v>157.30000000000001</v>
      </c>
      <c r="AH92">
        <v>156.69999999999999</v>
      </c>
      <c r="AI92" s="11">
        <f t="shared" si="9"/>
        <v>5.4508748317631188E-2</v>
      </c>
    </row>
    <row r="93" spans="1:35" x14ac:dyDescent="0.25">
      <c r="A93" t="s">
        <v>32</v>
      </c>
      <c r="B93">
        <v>2021</v>
      </c>
      <c r="C93">
        <v>3</v>
      </c>
      <c r="D93" s="13">
        <f t="shared" si="5"/>
        <v>44256</v>
      </c>
      <c r="E93">
        <v>147.5</v>
      </c>
      <c r="F93">
        <v>197.5</v>
      </c>
      <c r="G93">
        <v>164.7</v>
      </c>
      <c r="H93">
        <v>155.6</v>
      </c>
      <c r="I93">
        <v>156.4</v>
      </c>
      <c r="J93">
        <v>157.30000000000001</v>
      </c>
      <c r="K93">
        <v>166.1</v>
      </c>
      <c r="L93">
        <v>161.1</v>
      </c>
      <c r="M93">
        <v>114.3</v>
      </c>
      <c r="N93">
        <v>162.6</v>
      </c>
      <c r="O93">
        <v>150.69999999999999</v>
      </c>
      <c r="P93">
        <v>170.3</v>
      </c>
      <c r="Q93">
        <v>160.4</v>
      </c>
      <c r="R93" s="12">
        <f t="shared" si="6"/>
        <v>3.8187702265372207E-2</v>
      </c>
      <c r="S93">
        <v>193.5</v>
      </c>
      <c r="T93">
        <v>155.1</v>
      </c>
      <c r="U93">
        <v>138.69999999999999</v>
      </c>
      <c r="V93">
        <v>152.6</v>
      </c>
      <c r="W93">
        <v>159.9</v>
      </c>
      <c r="X93">
        <v>154.80000000000001</v>
      </c>
      <c r="Y93" s="12">
        <f t="shared" si="7"/>
        <v>-7.692307692307619E-3</v>
      </c>
      <c r="Z93">
        <v>147.19999999999999</v>
      </c>
      <c r="AA93">
        <v>156.9</v>
      </c>
      <c r="AB93" s="12">
        <f t="shared" si="8"/>
        <v>-4.6780072904009651E-2</v>
      </c>
      <c r="AC93">
        <v>141.69999999999999</v>
      </c>
      <c r="AD93">
        <v>148.6</v>
      </c>
      <c r="AE93">
        <v>157.6</v>
      </c>
      <c r="AF93">
        <v>154.9</v>
      </c>
      <c r="AG93">
        <v>150</v>
      </c>
      <c r="AH93">
        <v>156.9</v>
      </c>
      <c r="AI93" s="11">
        <f t="shared" si="9"/>
        <v>1.2763241863434401E-3</v>
      </c>
    </row>
    <row r="94" spans="1:35" x14ac:dyDescent="0.25">
      <c r="A94" t="s">
        <v>33</v>
      </c>
      <c r="B94">
        <v>2021</v>
      </c>
      <c r="C94">
        <v>3</v>
      </c>
      <c r="D94" s="13">
        <f t="shared" si="5"/>
        <v>44256</v>
      </c>
      <c r="E94">
        <v>144.1</v>
      </c>
      <c r="F94">
        <v>192.2</v>
      </c>
      <c r="G94">
        <v>163.80000000000001</v>
      </c>
      <c r="H94">
        <v>154.9</v>
      </c>
      <c r="I94">
        <v>163.9</v>
      </c>
      <c r="J94">
        <v>153.69999999999999</v>
      </c>
      <c r="K94">
        <v>149.5</v>
      </c>
      <c r="L94">
        <v>159.80000000000001</v>
      </c>
      <c r="M94">
        <v>112.6</v>
      </c>
      <c r="N94">
        <v>163.5</v>
      </c>
      <c r="O94">
        <v>156.5</v>
      </c>
      <c r="P94">
        <v>168.2</v>
      </c>
      <c r="Q94">
        <v>156.69999999999999</v>
      </c>
      <c r="R94" s="12">
        <f t="shared" si="6"/>
        <v>-2.306733167082305E-2</v>
      </c>
      <c r="S94">
        <v>188.1</v>
      </c>
      <c r="T94">
        <v>157.80000000000001</v>
      </c>
      <c r="U94">
        <v>147.9</v>
      </c>
      <c r="V94">
        <v>156.4</v>
      </c>
      <c r="W94">
        <v>159.9</v>
      </c>
      <c r="X94">
        <v>155.5</v>
      </c>
      <c r="Y94" s="12">
        <f t="shared" si="7"/>
        <v>4.5219638242893316E-3</v>
      </c>
      <c r="Z94">
        <v>151.19999999999999</v>
      </c>
      <c r="AA94">
        <v>161.69999999999999</v>
      </c>
      <c r="AB94" s="12">
        <f t="shared" si="8"/>
        <v>3.0592734225621306E-2</v>
      </c>
      <c r="AC94">
        <v>146.19999999999999</v>
      </c>
      <c r="AD94">
        <v>152.6</v>
      </c>
      <c r="AE94">
        <v>160.19999999999999</v>
      </c>
      <c r="AF94">
        <v>153.80000000000001</v>
      </c>
      <c r="AG94">
        <v>153.80000000000001</v>
      </c>
      <c r="AH94">
        <v>156.80000000000001</v>
      </c>
      <c r="AI94" s="11">
        <f t="shared" si="9"/>
        <v>-6.3734862970040991E-4</v>
      </c>
    </row>
    <row r="95" spans="1:35" x14ac:dyDescent="0.25">
      <c r="A95" t="s">
        <v>30</v>
      </c>
      <c r="B95">
        <v>2022</v>
      </c>
      <c r="C95">
        <v>3</v>
      </c>
      <c r="D95" s="13">
        <f t="shared" si="5"/>
        <v>44621</v>
      </c>
      <c r="E95">
        <v>150.19999999999999</v>
      </c>
      <c r="F95">
        <v>208</v>
      </c>
      <c r="G95">
        <v>167.9</v>
      </c>
      <c r="H95">
        <v>162</v>
      </c>
      <c r="I95">
        <v>203.1</v>
      </c>
      <c r="J95">
        <v>155.9</v>
      </c>
      <c r="K95">
        <v>155.80000000000001</v>
      </c>
      <c r="L95">
        <v>164.2</v>
      </c>
      <c r="M95">
        <v>118.1</v>
      </c>
      <c r="N95">
        <v>178.7</v>
      </c>
      <c r="O95">
        <v>171.2</v>
      </c>
      <c r="P95">
        <v>177.4</v>
      </c>
      <c r="Q95">
        <v>166.6</v>
      </c>
      <c r="R95" s="12">
        <f t="shared" si="6"/>
        <v>6.3178047223994935E-2</v>
      </c>
      <c r="S95">
        <v>192.3</v>
      </c>
      <c r="T95">
        <v>175.4</v>
      </c>
      <c r="U95">
        <v>173.2</v>
      </c>
      <c r="V95">
        <v>175.1</v>
      </c>
      <c r="W95" t="s">
        <v>31</v>
      </c>
      <c r="X95">
        <v>168.9</v>
      </c>
      <c r="Y95" s="12">
        <f t="shared" si="7"/>
        <v>8.6173633440514499E-2</v>
      </c>
      <c r="Z95">
        <v>166.5</v>
      </c>
      <c r="AA95">
        <v>176</v>
      </c>
      <c r="AB95" s="12">
        <f t="shared" si="8"/>
        <v>8.8435374149659934E-2</v>
      </c>
      <c r="AC95">
        <v>162</v>
      </c>
      <c r="AD95">
        <v>166.6</v>
      </c>
      <c r="AE95">
        <v>170.6</v>
      </c>
      <c r="AF95">
        <v>167.4</v>
      </c>
      <c r="AG95">
        <v>168.3</v>
      </c>
      <c r="AH95">
        <v>168.7</v>
      </c>
      <c r="AI95" s="11">
        <f t="shared" si="9"/>
        <v>7.5892857142856998E-2</v>
      </c>
    </row>
    <row r="96" spans="1:35" x14ac:dyDescent="0.25">
      <c r="A96" t="s">
        <v>32</v>
      </c>
      <c r="B96">
        <v>2022</v>
      </c>
      <c r="C96">
        <v>3</v>
      </c>
      <c r="D96" s="13">
        <f t="shared" si="5"/>
        <v>44621</v>
      </c>
      <c r="E96">
        <v>153.69999999999999</v>
      </c>
      <c r="F96">
        <v>215.8</v>
      </c>
      <c r="G96">
        <v>167.7</v>
      </c>
      <c r="H96">
        <v>162.6</v>
      </c>
      <c r="I96">
        <v>180</v>
      </c>
      <c r="J96">
        <v>159.6</v>
      </c>
      <c r="K96">
        <v>188.4</v>
      </c>
      <c r="L96">
        <v>163.4</v>
      </c>
      <c r="M96">
        <v>120.3</v>
      </c>
      <c r="N96">
        <v>174.7</v>
      </c>
      <c r="O96">
        <v>157.1</v>
      </c>
      <c r="P96">
        <v>181.5</v>
      </c>
      <c r="Q96">
        <v>171.5</v>
      </c>
      <c r="R96" s="12">
        <f t="shared" si="6"/>
        <v>2.9411764705882387E-2</v>
      </c>
      <c r="S96">
        <v>197.5</v>
      </c>
      <c r="T96">
        <v>167.1</v>
      </c>
      <c r="U96">
        <v>152.6</v>
      </c>
      <c r="V96">
        <v>164.9</v>
      </c>
      <c r="W96">
        <v>165.3</v>
      </c>
      <c r="X96">
        <v>164.5</v>
      </c>
      <c r="Y96" s="12">
        <f t="shared" si="7"/>
        <v>-2.6050917702782745E-2</v>
      </c>
      <c r="Z96">
        <v>158.6</v>
      </c>
      <c r="AA96">
        <v>168.2</v>
      </c>
      <c r="AB96" s="12">
        <f t="shared" si="8"/>
        <v>-4.4318181818181882E-2</v>
      </c>
      <c r="AC96">
        <v>154.19999999999999</v>
      </c>
      <c r="AD96">
        <v>160.80000000000001</v>
      </c>
      <c r="AE96">
        <v>162.69999999999999</v>
      </c>
      <c r="AF96">
        <v>166.8</v>
      </c>
      <c r="AG96">
        <v>160.6</v>
      </c>
      <c r="AH96">
        <v>166.5</v>
      </c>
      <c r="AI96" s="11">
        <f t="shared" si="9"/>
        <v>-1.304090100770592E-2</v>
      </c>
    </row>
    <row r="97" spans="1:35" x14ac:dyDescent="0.25">
      <c r="A97" t="s">
        <v>33</v>
      </c>
      <c r="B97">
        <v>2022</v>
      </c>
      <c r="C97">
        <v>3</v>
      </c>
      <c r="D97" s="13">
        <f t="shared" si="5"/>
        <v>44621</v>
      </c>
      <c r="E97">
        <v>151.30000000000001</v>
      </c>
      <c r="F97">
        <v>210.7</v>
      </c>
      <c r="G97">
        <v>167.8</v>
      </c>
      <c r="H97">
        <v>162.19999999999999</v>
      </c>
      <c r="I97">
        <v>194.6</v>
      </c>
      <c r="J97">
        <v>157.6</v>
      </c>
      <c r="K97">
        <v>166.9</v>
      </c>
      <c r="L97">
        <v>163.9</v>
      </c>
      <c r="M97">
        <v>118.8</v>
      </c>
      <c r="N97">
        <v>177.4</v>
      </c>
      <c r="O97">
        <v>165.3</v>
      </c>
      <c r="P97">
        <v>179.3</v>
      </c>
      <c r="Q97">
        <v>168.4</v>
      </c>
      <c r="R97" s="12">
        <f t="shared" si="6"/>
        <v>-1.8075801749271102E-2</v>
      </c>
      <c r="S97">
        <v>193.7</v>
      </c>
      <c r="T97">
        <v>172.1</v>
      </c>
      <c r="U97">
        <v>164.6</v>
      </c>
      <c r="V97">
        <v>171.1</v>
      </c>
      <c r="W97">
        <v>165.3</v>
      </c>
      <c r="X97">
        <v>167.2</v>
      </c>
      <c r="Y97" s="12">
        <f t="shared" si="7"/>
        <v>1.6413373860182302E-2</v>
      </c>
      <c r="Z97">
        <v>162.80000000000001</v>
      </c>
      <c r="AA97">
        <v>173</v>
      </c>
      <c r="AB97" s="12">
        <f t="shared" si="8"/>
        <v>2.8537455410225992E-2</v>
      </c>
      <c r="AC97">
        <v>157.9</v>
      </c>
      <c r="AD97">
        <v>163.30000000000001</v>
      </c>
      <c r="AE97">
        <v>166</v>
      </c>
      <c r="AF97">
        <v>167.2</v>
      </c>
      <c r="AG97">
        <v>164.6</v>
      </c>
      <c r="AH97">
        <v>167.7</v>
      </c>
      <c r="AI97" s="11">
        <f t="shared" si="9"/>
        <v>7.2072072072071388E-3</v>
      </c>
    </row>
    <row r="98" spans="1:35" x14ac:dyDescent="0.25">
      <c r="A98" t="s">
        <v>30</v>
      </c>
      <c r="B98">
        <v>2023</v>
      </c>
      <c r="C98">
        <v>3</v>
      </c>
      <c r="D98" s="13">
        <f t="shared" si="5"/>
        <v>44986</v>
      </c>
      <c r="E98">
        <v>174.3</v>
      </c>
      <c r="F98">
        <v>205.2</v>
      </c>
      <c r="G98">
        <v>173.9</v>
      </c>
      <c r="H98">
        <v>177</v>
      </c>
      <c r="I98">
        <v>183.3</v>
      </c>
      <c r="J98">
        <v>167.2</v>
      </c>
      <c r="K98">
        <v>140.9</v>
      </c>
      <c r="L98">
        <v>170.5</v>
      </c>
      <c r="M98">
        <v>119.1</v>
      </c>
      <c r="N98">
        <v>212.1</v>
      </c>
      <c r="O98">
        <v>177.6</v>
      </c>
      <c r="P98">
        <v>189.9</v>
      </c>
      <c r="Q98">
        <v>174.8</v>
      </c>
      <c r="R98" s="12">
        <f t="shared" si="6"/>
        <v>3.8004750593824257E-2</v>
      </c>
      <c r="S98">
        <v>198.4</v>
      </c>
      <c r="T98">
        <v>190</v>
      </c>
      <c r="U98">
        <v>187</v>
      </c>
      <c r="V98">
        <v>189.6</v>
      </c>
      <c r="W98" t="s">
        <v>31</v>
      </c>
      <c r="X98">
        <v>181.4</v>
      </c>
      <c r="Y98" s="12">
        <f t="shared" si="7"/>
        <v>8.492822966507188E-2</v>
      </c>
      <c r="Z98">
        <v>178.6</v>
      </c>
      <c r="AA98">
        <v>186.6</v>
      </c>
      <c r="AB98" s="12">
        <f t="shared" si="8"/>
        <v>7.8612716763005741E-2</v>
      </c>
      <c r="AC98">
        <v>169</v>
      </c>
      <c r="AD98">
        <v>172.8</v>
      </c>
      <c r="AE98">
        <v>178.5</v>
      </c>
      <c r="AF98">
        <v>180.7</v>
      </c>
      <c r="AG98">
        <v>177.9</v>
      </c>
      <c r="AH98">
        <v>178</v>
      </c>
      <c r="AI98" s="11">
        <f t="shared" si="9"/>
        <v>6.1419200954084749E-2</v>
      </c>
    </row>
    <row r="99" spans="1:35" x14ac:dyDescent="0.25">
      <c r="A99" t="s">
        <v>32</v>
      </c>
      <c r="B99">
        <v>2023</v>
      </c>
      <c r="C99">
        <v>3</v>
      </c>
      <c r="D99" s="13">
        <f t="shared" si="5"/>
        <v>44986</v>
      </c>
      <c r="E99">
        <v>174.7</v>
      </c>
      <c r="F99">
        <v>212.2</v>
      </c>
      <c r="G99">
        <v>177.2</v>
      </c>
      <c r="H99">
        <v>177.9</v>
      </c>
      <c r="I99">
        <v>172.2</v>
      </c>
      <c r="J99">
        <v>172.1</v>
      </c>
      <c r="K99">
        <v>175.9</v>
      </c>
      <c r="L99">
        <v>172.2</v>
      </c>
      <c r="M99">
        <v>121.9</v>
      </c>
      <c r="N99">
        <v>204.8</v>
      </c>
      <c r="O99">
        <v>164.9</v>
      </c>
      <c r="P99">
        <v>196.6</v>
      </c>
      <c r="Q99">
        <v>180.8</v>
      </c>
      <c r="R99" s="12">
        <f t="shared" si="6"/>
        <v>3.4324942791762014E-2</v>
      </c>
      <c r="S99">
        <v>202.7</v>
      </c>
      <c r="T99">
        <v>180.2</v>
      </c>
      <c r="U99">
        <v>167</v>
      </c>
      <c r="V99">
        <v>178.2</v>
      </c>
      <c r="W99">
        <v>173.5</v>
      </c>
      <c r="X99">
        <v>182.6</v>
      </c>
      <c r="Y99" s="12">
        <f t="shared" si="7"/>
        <v>6.6152149944872576E-3</v>
      </c>
      <c r="Z99">
        <v>169.2</v>
      </c>
      <c r="AA99">
        <v>180.8</v>
      </c>
      <c r="AB99" s="12">
        <f t="shared" si="8"/>
        <v>-3.1082529474812343E-2</v>
      </c>
      <c r="AC99">
        <v>159.80000000000001</v>
      </c>
      <c r="AD99">
        <v>168.4</v>
      </c>
      <c r="AE99">
        <v>172.5</v>
      </c>
      <c r="AF99">
        <v>181.5</v>
      </c>
      <c r="AG99">
        <v>170</v>
      </c>
      <c r="AH99">
        <v>176.3</v>
      </c>
      <c r="AI99" s="11">
        <f t="shared" si="9"/>
        <v>-9.5505617977527449E-3</v>
      </c>
    </row>
    <row r="100" spans="1:35" x14ac:dyDescent="0.25">
      <c r="A100" t="s">
        <v>33</v>
      </c>
      <c r="B100">
        <v>2023</v>
      </c>
      <c r="C100">
        <v>3</v>
      </c>
      <c r="D100" s="13">
        <f t="shared" si="5"/>
        <v>44986</v>
      </c>
      <c r="E100">
        <v>174.4</v>
      </c>
      <c r="F100">
        <v>207.7</v>
      </c>
      <c r="G100">
        <v>175.2</v>
      </c>
      <c r="H100">
        <v>177.3</v>
      </c>
      <c r="I100">
        <v>179.2</v>
      </c>
      <c r="J100">
        <v>169.5</v>
      </c>
      <c r="K100">
        <v>152.80000000000001</v>
      </c>
      <c r="L100">
        <v>171.1</v>
      </c>
      <c r="M100">
        <v>120</v>
      </c>
      <c r="N100">
        <v>209.7</v>
      </c>
      <c r="O100">
        <v>172.3</v>
      </c>
      <c r="P100">
        <v>193</v>
      </c>
      <c r="Q100">
        <v>177</v>
      </c>
      <c r="R100" s="12">
        <f t="shared" si="6"/>
        <v>-2.1017699115044308E-2</v>
      </c>
      <c r="S100">
        <v>199.5</v>
      </c>
      <c r="T100">
        <v>186.1</v>
      </c>
      <c r="U100">
        <v>178.7</v>
      </c>
      <c r="V100">
        <v>185.1</v>
      </c>
      <c r="W100">
        <v>173.5</v>
      </c>
      <c r="X100">
        <v>181.9</v>
      </c>
      <c r="Y100" s="12">
        <f t="shared" si="7"/>
        <v>-3.8335158817085907E-3</v>
      </c>
      <c r="Z100">
        <v>174.2</v>
      </c>
      <c r="AA100">
        <v>184.4</v>
      </c>
      <c r="AB100" s="12">
        <f t="shared" si="8"/>
        <v>1.991150442477873E-2</v>
      </c>
      <c r="AC100">
        <v>164.2</v>
      </c>
      <c r="AD100">
        <v>170.3</v>
      </c>
      <c r="AE100">
        <v>175</v>
      </c>
      <c r="AF100">
        <v>181</v>
      </c>
      <c r="AG100">
        <v>174.1</v>
      </c>
      <c r="AH100">
        <v>177.2</v>
      </c>
      <c r="AI100" s="11">
        <f t="shared" si="9"/>
        <v>5.1049347702778062E-3</v>
      </c>
    </row>
    <row r="101" spans="1:35" x14ac:dyDescent="0.25">
      <c r="A101" t="s">
        <v>30</v>
      </c>
      <c r="B101">
        <v>2013</v>
      </c>
      <c r="C101">
        <v>4</v>
      </c>
      <c r="D101" s="13">
        <f t="shared" si="5"/>
        <v>41365</v>
      </c>
      <c r="E101">
        <v>110.2</v>
      </c>
      <c r="F101">
        <v>109.5</v>
      </c>
      <c r="G101">
        <v>106.9</v>
      </c>
      <c r="H101">
        <v>106.3</v>
      </c>
      <c r="I101">
        <v>105.7</v>
      </c>
      <c r="J101">
        <v>108.3</v>
      </c>
      <c r="K101">
        <v>103.4</v>
      </c>
      <c r="L101">
        <v>105.7</v>
      </c>
      <c r="M101">
        <v>104.2</v>
      </c>
      <c r="N101">
        <v>103.2</v>
      </c>
      <c r="O101">
        <v>106.5</v>
      </c>
      <c r="P101">
        <v>108.8</v>
      </c>
      <c r="Q101">
        <v>107.1</v>
      </c>
      <c r="R101" s="12">
        <f t="shared" si="6"/>
        <v>-0.39491525423728818</v>
      </c>
      <c r="S101">
        <v>107.1</v>
      </c>
      <c r="T101">
        <v>108.1</v>
      </c>
      <c r="U101">
        <v>107.4</v>
      </c>
      <c r="V101">
        <v>108</v>
      </c>
      <c r="W101" t="s">
        <v>31</v>
      </c>
      <c r="X101">
        <v>106.5</v>
      </c>
      <c r="Y101" s="12">
        <f t="shared" si="7"/>
        <v>-0.4145134689389775</v>
      </c>
      <c r="Z101">
        <v>106.1</v>
      </c>
      <c r="AA101">
        <v>105.1</v>
      </c>
      <c r="AB101" s="12">
        <f t="shared" si="8"/>
        <v>-0.43004338394793928</v>
      </c>
      <c r="AC101">
        <v>104.4</v>
      </c>
      <c r="AD101">
        <v>104.5</v>
      </c>
      <c r="AE101">
        <v>104.8</v>
      </c>
      <c r="AF101">
        <v>102.7</v>
      </c>
      <c r="AG101">
        <v>104.6</v>
      </c>
      <c r="AH101">
        <v>106.4</v>
      </c>
      <c r="AI101" s="11">
        <f t="shared" si="9"/>
        <v>-0.39954853273137692</v>
      </c>
    </row>
    <row r="102" spans="1:35" x14ac:dyDescent="0.25">
      <c r="A102" t="s">
        <v>32</v>
      </c>
      <c r="B102">
        <v>2013</v>
      </c>
      <c r="C102">
        <v>4</v>
      </c>
      <c r="D102" s="13">
        <f t="shared" si="5"/>
        <v>41365</v>
      </c>
      <c r="E102">
        <v>114.6</v>
      </c>
      <c r="F102">
        <v>113.4</v>
      </c>
      <c r="G102">
        <v>106</v>
      </c>
      <c r="H102">
        <v>104.7</v>
      </c>
      <c r="I102">
        <v>102.1</v>
      </c>
      <c r="J102">
        <v>109.5</v>
      </c>
      <c r="K102">
        <v>109.7</v>
      </c>
      <c r="L102">
        <v>104.6</v>
      </c>
      <c r="M102">
        <v>102</v>
      </c>
      <c r="N102">
        <v>103.5</v>
      </c>
      <c r="O102">
        <v>108.2</v>
      </c>
      <c r="P102">
        <v>110.6</v>
      </c>
      <c r="Q102">
        <v>108.8</v>
      </c>
      <c r="R102" s="12">
        <f t="shared" si="6"/>
        <v>1.58730158730159E-2</v>
      </c>
      <c r="S102">
        <v>108.5</v>
      </c>
      <c r="T102">
        <v>107.9</v>
      </c>
      <c r="U102">
        <v>106.4</v>
      </c>
      <c r="V102">
        <v>107.7</v>
      </c>
      <c r="W102">
        <v>100.5</v>
      </c>
      <c r="X102">
        <v>106.4</v>
      </c>
      <c r="Y102" s="12">
        <f t="shared" si="7"/>
        <v>-9.3896713615018138E-4</v>
      </c>
      <c r="Z102">
        <v>106.5</v>
      </c>
      <c r="AA102">
        <v>105.7</v>
      </c>
      <c r="AB102" s="12">
        <f t="shared" si="8"/>
        <v>5.7088487155091206E-3</v>
      </c>
      <c r="AC102">
        <v>105</v>
      </c>
      <c r="AD102">
        <v>104</v>
      </c>
      <c r="AE102">
        <v>105.2</v>
      </c>
      <c r="AF102">
        <v>103.2</v>
      </c>
      <c r="AG102">
        <v>105.1</v>
      </c>
      <c r="AH102">
        <v>105.7</v>
      </c>
      <c r="AI102" s="11">
        <f t="shared" si="9"/>
        <v>-6.5789473684210792E-3</v>
      </c>
    </row>
    <row r="103" spans="1:35" x14ac:dyDescent="0.25">
      <c r="A103" t="s">
        <v>33</v>
      </c>
      <c r="B103">
        <v>2013</v>
      </c>
      <c r="C103">
        <v>4</v>
      </c>
      <c r="D103" s="13">
        <f t="shared" si="5"/>
        <v>41365</v>
      </c>
      <c r="E103">
        <v>111.6</v>
      </c>
      <c r="F103">
        <v>110.9</v>
      </c>
      <c r="G103">
        <v>106.6</v>
      </c>
      <c r="H103">
        <v>105.7</v>
      </c>
      <c r="I103">
        <v>104.4</v>
      </c>
      <c r="J103">
        <v>108.9</v>
      </c>
      <c r="K103">
        <v>105.5</v>
      </c>
      <c r="L103">
        <v>105.3</v>
      </c>
      <c r="M103">
        <v>103.5</v>
      </c>
      <c r="N103">
        <v>103.3</v>
      </c>
      <c r="O103">
        <v>107.2</v>
      </c>
      <c r="P103">
        <v>109.6</v>
      </c>
      <c r="Q103">
        <v>107.7</v>
      </c>
      <c r="R103" s="12">
        <f t="shared" si="6"/>
        <v>-1.0110294117647007E-2</v>
      </c>
      <c r="S103">
        <v>107.5</v>
      </c>
      <c r="T103">
        <v>108</v>
      </c>
      <c r="U103">
        <v>107</v>
      </c>
      <c r="V103">
        <v>107.9</v>
      </c>
      <c r="W103">
        <v>100.5</v>
      </c>
      <c r="X103">
        <v>106.5</v>
      </c>
      <c r="Y103" s="12">
        <f t="shared" si="7"/>
        <v>9.3984962406009687E-4</v>
      </c>
      <c r="Z103">
        <v>106.3</v>
      </c>
      <c r="AA103">
        <v>105.3</v>
      </c>
      <c r="AB103" s="12">
        <f t="shared" si="8"/>
        <v>-3.7842951750237056E-3</v>
      </c>
      <c r="AC103">
        <v>104.7</v>
      </c>
      <c r="AD103">
        <v>104.2</v>
      </c>
      <c r="AE103">
        <v>105</v>
      </c>
      <c r="AF103">
        <v>102.9</v>
      </c>
      <c r="AG103">
        <v>104.8</v>
      </c>
      <c r="AH103">
        <v>106.1</v>
      </c>
      <c r="AI103" s="11">
        <f t="shared" si="9"/>
        <v>3.7842951750235712E-3</v>
      </c>
    </row>
    <row r="104" spans="1:35" x14ac:dyDescent="0.25">
      <c r="A104" t="s">
        <v>30</v>
      </c>
      <c r="B104">
        <v>2014</v>
      </c>
      <c r="C104">
        <v>4</v>
      </c>
      <c r="D104" s="13">
        <f t="shared" si="5"/>
        <v>41730</v>
      </c>
      <c r="E104">
        <v>120.2</v>
      </c>
      <c r="F104">
        <v>118.9</v>
      </c>
      <c r="G104">
        <v>118.1</v>
      </c>
      <c r="H104">
        <v>117</v>
      </c>
      <c r="I104">
        <v>109.7</v>
      </c>
      <c r="J104">
        <v>125.5</v>
      </c>
      <c r="K104">
        <v>120.5</v>
      </c>
      <c r="L104">
        <v>111</v>
      </c>
      <c r="M104">
        <v>102.6</v>
      </c>
      <c r="N104">
        <v>111.2</v>
      </c>
      <c r="O104">
        <v>113.5</v>
      </c>
      <c r="P104">
        <v>118.7</v>
      </c>
      <c r="Q104">
        <v>117.2</v>
      </c>
      <c r="R104" s="12">
        <f t="shared" si="6"/>
        <v>8.8207985143918283E-2</v>
      </c>
      <c r="S104">
        <v>115.4</v>
      </c>
      <c r="T104">
        <v>118.1</v>
      </c>
      <c r="U104">
        <v>116.1</v>
      </c>
      <c r="V104">
        <v>117.8</v>
      </c>
      <c r="W104" t="s">
        <v>31</v>
      </c>
      <c r="X104">
        <v>113.4</v>
      </c>
      <c r="Y104" s="12">
        <f t="shared" si="7"/>
        <v>6.478873239436625E-2</v>
      </c>
      <c r="Z104">
        <v>113.7</v>
      </c>
      <c r="AA104">
        <v>111.8</v>
      </c>
      <c r="AB104" s="12">
        <f t="shared" si="8"/>
        <v>6.1728395061728399E-2</v>
      </c>
      <c r="AC104">
        <v>111.2</v>
      </c>
      <c r="AD104">
        <v>110.5</v>
      </c>
      <c r="AE104">
        <v>113</v>
      </c>
      <c r="AF104">
        <v>108.9</v>
      </c>
      <c r="AG104">
        <v>111.5</v>
      </c>
      <c r="AH104">
        <v>115.4</v>
      </c>
      <c r="AI104" s="11">
        <f t="shared" si="9"/>
        <v>8.7653157398680598E-2</v>
      </c>
    </row>
    <row r="105" spans="1:35" x14ac:dyDescent="0.25">
      <c r="A105" t="s">
        <v>32</v>
      </c>
      <c r="B105">
        <v>2014</v>
      </c>
      <c r="C105">
        <v>4</v>
      </c>
      <c r="D105" s="13">
        <f t="shared" si="5"/>
        <v>41730</v>
      </c>
      <c r="E105">
        <v>122.5</v>
      </c>
      <c r="F105">
        <v>121.7</v>
      </c>
      <c r="G105">
        <v>113.3</v>
      </c>
      <c r="H105">
        <v>117</v>
      </c>
      <c r="I105">
        <v>103.1</v>
      </c>
      <c r="J105">
        <v>126.7</v>
      </c>
      <c r="K105">
        <v>121.2</v>
      </c>
      <c r="L105">
        <v>111</v>
      </c>
      <c r="M105">
        <v>100.3</v>
      </c>
      <c r="N105">
        <v>115.3</v>
      </c>
      <c r="O105">
        <v>112.7</v>
      </c>
      <c r="P105">
        <v>121</v>
      </c>
      <c r="Q105">
        <v>118.2</v>
      </c>
      <c r="R105" s="12">
        <f t="shared" si="6"/>
        <v>8.5324232081911266E-3</v>
      </c>
      <c r="S105">
        <v>117.6</v>
      </c>
      <c r="T105">
        <v>116.3</v>
      </c>
      <c r="U105">
        <v>112.5</v>
      </c>
      <c r="V105">
        <v>115.7</v>
      </c>
      <c r="W105">
        <v>113.9</v>
      </c>
      <c r="X105">
        <v>110.9</v>
      </c>
      <c r="Y105" s="12">
        <f t="shared" si="7"/>
        <v>-2.2045855379188711E-2</v>
      </c>
      <c r="Z105">
        <v>113.4</v>
      </c>
      <c r="AA105">
        <v>111</v>
      </c>
      <c r="AB105" s="12">
        <f t="shared" si="8"/>
        <v>-7.1556350626117817E-3</v>
      </c>
      <c r="AC105">
        <v>111.2</v>
      </c>
      <c r="AD105">
        <v>111.2</v>
      </c>
      <c r="AE105">
        <v>112.5</v>
      </c>
      <c r="AF105">
        <v>109.1</v>
      </c>
      <c r="AG105">
        <v>111.4</v>
      </c>
      <c r="AH105">
        <v>114.7</v>
      </c>
      <c r="AI105" s="11">
        <f t="shared" si="9"/>
        <v>-6.0658578856152756E-3</v>
      </c>
    </row>
    <row r="106" spans="1:35" x14ac:dyDescent="0.25">
      <c r="A106" t="s">
        <v>33</v>
      </c>
      <c r="B106">
        <v>2014</v>
      </c>
      <c r="C106">
        <v>4</v>
      </c>
      <c r="D106" s="13">
        <f t="shared" si="5"/>
        <v>41730</v>
      </c>
      <c r="E106">
        <v>120.9</v>
      </c>
      <c r="F106">
        <v>119.9</v>
      </c>
      <c r="G106">
        <v>116.2</v>
      </c>
      <c r="H106">
        <v>117</v>
      </c>
      <c r="I106">
        <v>107.3</v>
      </c>
      <c r="J106">
        <v>126.1</v>
      </c>
      <c r="K106">
        <v>120.7</v>
      </c>
      <c r="L106">
        <v>111</v>
      </c>
      <c r="M106">
        <v>101.8</v>
      </c>
      <c r="N106">
        <v>112.6</v>
      </c>
      <c r="O106">
        <v>113.2</v>
      </c>
      <c r="P106">
        <v>119.8</v>
      </c>
      <c r="Q106">
        <v>117.6</v>
      </c>
      <c r="R106" s="12">
        <f t="shared" si="6"/>
        <v>-5.076142131979767E-3</v>
      </c>
      <c r="S106">
        <v>116</v>
      </c>
      <c r="T106">
        <v>117.4</v>
      </c>
      <c r="U106">
        <v>114.6</v>
      </c>
      <c r="V106">
        <v>117</v>
      </c>
      <c r="W106">
        <v>113.9</v>
      </c>
      <c r="X106">
        <v>112.5</v>
      </c>
      <c r="Y106" s="12">
        <f t="shared" si="7"/>
        <v>1.4427412082957567E-2</v>
      </c>
      <c r="Z106">
        <v>113.6</v>
      </c>
      <c r="AA106">
        <v>111.5</v>
      </c>
      <c r="AB106" s="12">
        <f t="shared" si="8"/>
        <v>4.5045045045045045E-3</v>
      </c>
      <c r="AC106">
        <v>111.2</v>
      </c>
      <c r="AD106">
        <v>110.9</v>
      </c>
      <c r="AE106">
        <v>112.7</v>
      </c>
      <c r="AF106">
        <v>109</v>
      </c>
      <c r="AG106">
        <v>111.5</v>
      </c>
      <c r="AH106">
        <v>115.1</v>
      </c>
      <c r="AI106" s="11">
        <f t="shared" si="9"/>
        <v>3.487358326067929E-3</v>
      </c>
    </row>
    <row r="107" spans="1:35" x14ac:dyDescent="0.25">
      <c r="A107" t="s">
        <v>30</v>
      </c>
      <c r="B107">
        <v>2015</v>
      </c>
      <c r="C107">
        <v>4</v>
      </c>
      <c r="D107" s="13">
        <f t="shared" si="5"/>
        <v>42095</v>
      </c>
      <c r="E107">
        <v>123.3</v>
      </c>
      <c r="F107">
        <v>125.5</v>
      </c>
      <c r="G107">
        <v>117.2</v>
      </c>
      <c r="H107">
        <v>126.8</v>
      </c>
      <c r="I107">
        <v>111.9</v>
      </c>
      <c r="J107">
        <v>134.19999999999999</v>
      </c>
      <c r="K107">
        <v>127.5</v>
      </c>
      <c r="L107">
        <v>121.5</v>
      </c>
      <c r="M107">
        <v>97.8</v>
      </c>
      <c r="N107">
        <v>119.8</v>
      </c>
      <c r="O107">
        <v>119.4</v>
      </c>
      <c r="P107">
        <v>128.69999999999999</v>
      </c>
      <c r="Q107">
        <v>123.6</v>
      </c>
      <c r="R107" s="12">
        <f t="shared" si="6"/>
        <v>5.1020408163265307E-2</v>
      </c>
      <c r="S107">
        <v>125.7</v>
      </c>
      <c r="T107">
        <v>126.4</v>
      </c>
      <c r="U107">
        <v>123.3</v>
      </c>
      <c r="V107">
        <v>126</v>
      </c>
      <c r="W107" t="s">
        <v>31</v>
      </c>
      <c r="X107">
        <v>121.2</v>
      </c>
      <c r="Y107" s="12">
        <f t="shared" si="7"/>
        <v>7.7333333333333365E-2</v>
      </c>
      <c r="Z107">
        <v>120.9</v>
      </c>
      <c r="AA107">
        <v>118.6</v>
      </c>
      <c r="AB107" s="12">
        <f t="shared" si="8"/>
        <v>6.3677130044843003E-2</v>
      </c>
      <c r="AC107">
        <v>111.9</v>
      </c>
      <c r="AD107">
        <v>116.2</v>
      </c>
      <c r="AE107">
        <v>119.9</v>
      </c>
      <c r="AF107">
        <v>111.6</v>
      </c>
      <c r="AG107">
        <v>116</v>
      </c>
      <c r="AH107">
        <v>121.5</v>
      </c>
      <c r="AI107" s="11">
        <f t="shared" si="9"/>
        <v>5.5603822762814996E-2</v>
      </c>
    </row>
    <row r="108" spans="1:35" x14ac:dyDescent="0.25">
      <c r="A108" t="s">
        <v>32</v>
      </c>
      <c r="B108">
        <v>2015</v>
      </c>
      <c r="C108">
        <v>4</v>
      </c>
      <c r="D108" s="13">
        <f t="shared" si="5"/>
        <v>42095</v>
      </c>
      <c r="E108">
        <v>123.8</v>
      </c>
      <c r="F108">
        <v>128.19999999999999</v>
      </c>
      <c r="G108">
        <v>110</v>
      </c>
      <c r="H108">
        <v>126.3</v>
      </c>
      <c r="I108">
        <v>104.5</v>
      </c>
      <c r="J108">
        <v>130.6</v>
      </c>
      <c r="K108">
        <v>130.80000000000001</v>
      </c>
      <c r="L108">
        <v>131.30000000000001</v>
      </c>
      <c r="M108">
        <v>91.6</v>
      </c>
      <c r="N108">
        <v>127.7</v>
      </c>
      <c r="O108">
        <v>117.2</v>
      </c>
      <c r="P108">
        <v>129.5</v>
      </c>
      <c r="Q108">
        <v>124.6</v>
      </c>
      <c r="R108" s="12">
        <f t="shared" si="6"/>
        <v>8.0906148867313926E-3</v>
      </c>
      <c r="S108">
        <v>130.1</v>
      </c>
      <c r="T108">
        <v>122.1</v>
      </c>
      <c r="U108">
        <v>117.2</v>
      </c>
      <c r="V108">
        <v>121.3</v>
      </c>
      <c r="W108">
        <v>119.2</v>
      </c>
      <c r="X108">
        <v>114.7</v>
      </c>
      <c r="Y108" s="12">
        <f t="shared" si="7"/>
        <v>-5.3630363036303627E-2</v>
      </c>
      <c r="Z108">
        <v>118.4</v>
      </c>
      <c r="AA108">
        <v>114.6</v>
      </c>
      <c r="AB108" s="12">
        <f t="shared" si="8"/>
        <v>-3.3726812816188868E-2</v>
      </c>
      <c r="AC108">
        <v>108.4</v>
      </c>
      <c r="AD108">
        <v>115.6</v>
      </c>
      <c r="AE108">
        <v>121.7</v>
      </c>
      <c r="AF108">
        <v>111.8</v>
      </c>
      <c r="AG108">
        <v>114.2</v>
      </c>
      <c r="AH108">
        <v>119.7</v>
      </c>
      <c r="AI108" s="11">
        <f t="shared" si="9"/>
        <v>-1.4814814814814791E-2</v>
      </c>
    </row>
    <row r="109" spans="1:35" x14ac:dyDescent="0.25">
      <c r="A109" t="s">
        <v>33</v>
      </c>
      <c r="B109">
        <v>2015</v>
      </c>
      <c r="C109">
        <v>4</v>
      </c>
      <c r="D109" s="13">
        <f t="shared" si="5"/>
        <v>42095</v>
      </c>
      <c r="E109">
        <v>123.5</v>
      </c>
      <c r="F109">
        <v>126.4</v>
      </c>
      <c r="G109">
        <v>114.4</v>
      </c>
      <c r="H109">
        <v>126.6</v>
      </c>
      <c r="I109">
        <v>109.2</v>
      </c>
      <c r="J109">
        <v>132.5</v>
      </c>
      <c r="K109">
        <v>128.6</v>
      </c>
      <c r="L109">
        <v>124.8</v>
      </c>
      <c r="M109">
        <v>95.7</v>
      </c>
      <c r="N109">
        <v>122.4</v>
      </c>
      <c r="O109">
        <v>118.5</v>
      </c>
      <c r="P109">
        <v>129.1</v>
      </c>
      <c r="Q109">
        <v>124</v>
      </c>
      <c r="R109" s="12">
        <f t="shared" si="6"/>
        <v>-4.8154093097912869E-3</v>
      </c>
      <c r="S109">
        <v>126.9</v>
      </c>
      <c r="T109">
        <v>124.7</v>
      </c>
      <c r="U109">
        <v>120.8</v>
      </c>
      <c r="V109">
        <v>124.1</v>
      </c>
      <c r="W109">
        <v>119.2</v>
      </c>
      <c r="X109">
        <v>118.7</v>
      </c>
      <c r="Y109" s="12">
        <f t="shared" si="7"/>
        <v>3.4873583260680033E-2</v>
      </c>
      <c r="Z109">
        <v>119.7</v>
      </c>
      <c r="AA109">
        <v>117.1</v>
      </c>
      <c r="AB109" s="12">
        <f t="shared" si="8"/>
        <v>2.181500872600349E-2</v>
      </c>
      <c r="AC109">
        <v>110.1</v>
      </c>
      <c r="AD109">
        <v>115.9</v>
      </c>
      <c r="AE109">
        <v>121</v>
      </c>
      <c r="AF109">
        <v>111.7</v>
      </c>
      <c r="AG109">
        <v>115.1</v>
      </c>
      <c r="AH109">
        <v>120.7</v>
      </c>
      <c r="AI109" s="11">
        <f t="shared" si="9"/>
        <v>8.3542188805346695E-3</v>
      </c>
    </row>
    <row r="110" spans="1:35" x14ac:dyDescent="0.25">
      <c r="A110" t="s">
        <v>30</v>
      </c>
      <c r="B110">
        <v>2016</v>
      </c>
      <c r="C110">
        <v>4</v>
      </c>
      <c r="D110" s="13">
        <f t="shared" si="5"/>
        <v>42461</v>
      </c>
      <c r="E110">
        <v>127.4</v>
      </c>
      <c r="F110">
        <v>135.4</v>
      </c>
      <c r="G110">
        <v>123.4</v>
      </c>
      <c r="H110">
        <v>131.30000000000001</v>
      </c>
      <c r="I110">
        <v>118.2</v>
      </c>
      <c r="J110">
        <v>138.1</v>
      </c>
      <c r="K110">
        <v>134.1</v>
      </c>
      <c r="L110">
        <v>162.69999999999999</v>
      </c>
      <c r="M110">
        <v>105</v>
      </c>
      <c r="N110">
        <v>131.4</v>
      </c>
      <c r="O110">
        <v>125.4</v>
      </c>
      <c r="P110">
        <v>137.4</v>
      </c>
      <c r="Q110">
        <v>131.80000000000001</v>
      </c>
      <c r="R110" s="12">
        <f t="shared" si="6"/>
        <v>6.2903225806451704E-2</v>
      </c>
      <c r="S110">
        <v>135.5</v>
      </c>
      <c r="T110">
        <v>135</v>
      </c>
      <c r="U110">
        <v>130.6</v>
      </c>
      <c r="V110">
        <v>134.4</v>
      </c>
      <c r="W110" t="s">
        <v>31</v>
      </c>
      <c r="X110">
        <v>127</v>
      </c>
      <c r="Y110" s="12">
        <f t="shared" si="7"/>
        <v>6.9924178601516396E-2</v>
      </c>
      <c r="Z110">
        <v>128</v>
      </c>
      <c r="AA110">
        <v>125.2</v>
      </c>
      <c r="AB110" s="12">
        <f t="shared" si="8"/>
        <v>6.9171648163962499E-2</v>
      </c>
      <c r="AC110">
        <v>114.4</v>
      </c>
      <c r="AD110">
        <v>123.2</v>
      </c>
      <c r="AE110">
        <v>127.9</v>
      </c>
      <c r="AF110">
        <v>118.4</v>
      </c>
      <c r="AG110">
        <v>121.7</v>
      </c>
      <c r="AH110">
        <v>129</v>
      </c>
      <c r="AI110" s="11">
        <f t="shared" si="9"/>
        <v>6.8765534382767168E-2</v>
      </c>
    </row>
    <row r="111" spans="1:35" x14ac:dyDescent="0.25">
      <c r="A111" t="s">
        <v>32</v>
      </c>
      <c r="B111">
        <v>2016</v>
      </c>
      <c r="C111">
        <v>4</v>
      </c>
      <c r="D111" s="13">
        <f t="shared" si="5"/>
        <v>42461</v>
      </c>
      <c r="E111">
        <v>124.9</v>
      </c>
      <c r="F111">
        <v>139.30000000000001</v>
      </c>
      <c r="G111">
        <v>119.9</v>
      </c>
      <c r="H111">
        <v>130.19999999999999</v>
      </c>
      <c r="I111">
        <v>108.9</v>
      </c>
      <c r="J111">
        <v>131.1</v>
      </c>
      <c r="K111">
        <v>136.80000000000001</v>
      </c>
      <c r="L111">
        <v>176.9</v>
      </c>
      <c r="M111">
        <v>109.1</v>
      </c>
      <c r="N111">
        <v>140.4</v>
      </c>
      <c r="O111">
        <v>121.1</v>
      </c>
      <c r="P111">
        <v>135.9</v>
      </c>
      <c r="Q111">
        <v>131.80000000000001</v>
      </c>
      <c r="R111" s="12">
        <f t="shared" si="6"/>
        <v>0</v>
      </c>
      <c r="S111">
        <v>141.5</v>
      </c>
      <c r="T111">
        <v>126.8</v>
      </c>
      <c r="U111">
        <v>120.5</v>
      </c>
      <c r="V111">
        <v>125.8</v>
      </c>
      <c r="W111">
        <v>125.6</v>
      </c>
      <c r="X111">
        <v>114.6</v>
      </c>
      <c r="Y111" s="12">
        <f t="shared" si="7"/>
        <v>-9.7637795275590591E-2</v>
      </c>
      <c r="Z111">
        <v>122.8</v>
      </c>
      <c r="AA111">
        <v>120</v>
      </c>
      <c r="AB111" s="12">
        <f t="shared" si="8"/>
        <v>-4.1533546325878613E-2</v>
      </c>
      <c r="AC111">
        <v>110</v>
      </c>
      <c r="AD111">
        <v>119.5</v>
      </c>
      <c r="AE111">
        <v>127.6</v>
      </c>
      <c r="AF111">
        <v>117.6</v>
      </c>
      <c r="AG111">
        <v>118.2</v>
      </c>
      <c r="AH111">
        <v>125.3</v>
      </c>
      <c r="AI111" s="11">
        <f t="shared" si="9"/>
        <v>-2.8682170542635679E-2</v>
      </c>
    </row>
    <row r="112" spans="1:35" x14ac:dyDescent="0.25">
      <c r="A112" t="s">
        <v>33</v>
      </c>
      <c r="B112">
        <v>2016</v>
      </c>
      <c r="C112">
        <v>4</v>
      </c>
      <c r="D112" s="13">
        <f t="shared" si="5"/>
        <v>42461</v>
      </c>
      <c r="E112">
        <v>126.6</v>
      </c>
      <c r="F112">
        <v>136.80000000000001</v>
      </c>
      <c r="G112">
        <v>122</v>
      </c>
      <c r="H112">
        <v>130.9</v>
      </c>
      <c r="I112">
        <v>114.8</v>
      </c>
      <c r="J112">
        <v>134.80000000000001</v>
      </c>
      <c r="K112">
        <v>135</v>
      </c>
      <c r="L112">
        <v>167.5</v>
      </c>
      <c r="M112">
        <v>106.4</v>
      </c>
      <c r="N112">
        <v>134.4</v>
      </c>
      <c r="O112">
        <v>123.6</v>
      </c>
      <c r="P112">
        <v>136.69999999999999</v>
      </c>
      <c r="Q112">
        <v>131.80000000000001</v>
      </c>
      <c r="R112" s="12">
        <f t="shared" si="6"/>
        <v>0</v>
      </c>
      <c r="S112">
        <v>137.1</v>
      </c>
      <c r="T112">
        <v>131.80000000000001</v>
      </c>
      <c r="U112">
        <v>126.4</v>
      </c>
      <c r="V112">
        <v>131</v>
      </c>
      <c r="W112">
        <v>125.6</v>
      </c>
      <c r="X112">
        <v>122.3</v>
      </c>
      <c r="Y112" s="12">
        <f t="shared" si="7"/>
        <v>6.7190226876090775E-2</v>
      </c>
      <c r="Z112">
        <v>125.5</v>
      </c>
      <c r="AA112">
        <v>123.2</v>
      </c>
      <c r="AB112" s="12">
        <f t="shared" si="8"/>
        <v>2.6666666666666689E-2</v>
      </c>
      <c r="AC112">
        <v>112.1</v>
      </c>
      <c r="AD112">
        <v>121.1</v>
      </c>
      <c r="AE112">
        <v>127.7</v>
      </c>
      <c r="AF112">
        <v>118.1</v>
      </c>
      <c r="AG112">
        <v>120</v>
      </c>
      <c r="AH112">
        <v>127.3</v>
      </c>
      <c r="AI112" s="11">
        <f t="shared" si="9"/>
        <v>1.596169193934557E-2</v>
      </c>
    </row>
    <row r="113" spans="1:35" x14ac:dyDescent="0.25">
      <c r="A113" t="s">
        <v>30</v>
      </c>
      <c r="B113">
        <v>2017</v>
      </c>
      <c r="C113">
        <v>4</v>
      </c>
      <c r="D113" s="13">
        <f t="shared" si="5"/>
        <v>42826</v>
      </c>
      <c r="E113">
        <v>133.19999999999999</v>
      </c>
      <c r="F113">
        <v>138.69999999999999</v>
      </c>
      <c r="G113">
        <v>127.1</v>
      </c>
      <c r="H113">
        <v>137.69999999999999</v>
      </c>
      <c r="I113">
        <v>121.3</v>
      </c>
      <c r="J113">
        <v>141.80000000000001</v>
      </c>
      <c r="K113">
        <v>121.5</v>
      </c>
      <c r="L113">
        <v>144.5</v>
      </c>
      <c r="M113">
        <v>117.4</v>
      </c>
      <c r="N113">
        <v>134.1</v>
      </c>
      <c r="O113">
        <v>130</v>
      </c>
      <c r="P113">
        <v>145.5</v>
      </c>
      <c r="Q113">
        <v>133.5</v>
      </c>
      <c r="R113" s="12">
        <f t="shared" si="6"/>
        <v>1.2898330804248775E-2</v>
      </c>
      <c r="S113">
        <v>144.4</v>
      </c>
      <c r="T113">
        <v>142.4</v>
      </c>
      <c r="U113">
        <v>136.80000000000001</v>
      </c>
      <c r="V113">
        <v>141.6</v>
      </c>
      <c r="W113" t="s">
        <v>31</v>
      </c>
      <c r="X113">
        <v>135</v>
      </c>
      <c r="Y113" s="12">
        <f t="shared" si="7"/>
        <v>0.1038430089942764</v>
      </c>
      <c r="Z113">
        <v>134.30000000000001</v>
      </c>
      <c r="AA113">
        <v>131</v>
      </c>
      <c r="AB113" s="12">
        <f t="shared" si="8"/>
        <v>6.3311688311688291E-2</v>
      </c>
      <c r="AC113">
        <v>119.2</v>
      </c>
      <c r="AD113">
        <v>128.30000000000001</v>
      </c>
      <c r="AE113">
        <v>135.69999999999999</v>
      </c>
      <c r="AF113">
        <v>123.7</v>
      </c>
      <c r="AG113">
        <v>127.5</v>
      </c>
      <c r="AH113">
        <v>132.9</v>
      </c>
      <c r="AI113" s="11">
        <f t="shared" si="9"/>
        <v>4.3990573448546809E-2</v>
      </c>
    </row>
    <row r="114" spans="1:35" x14ac:dyDescent="0.25">
      <c r="A114" t="s">
        <v>32</v>
      </c>
      <c r="B114">
        <v>2017</v>
      </c>
      <c r="C114">
        <v>4</v>
      </c>
      <c r="D114" s="13">
        <f t="shared" si="5"/>
        <v>42826</v>
      </c>
      <c r="E114">
        <v>132.69999999999999</v>
      </c>
      <c r="F114">
        <v>140.6</v>
      </c>
      <c r="G114">
        <v>124.5</v>
      </c>
      <c r="H114">
        <v>136.30000000000001</v>
      </c>
      <c r="I114">
        <v>113.5</v>
      </c>
      <c r="J114">
        <v>137.69999999999999</v>
      </c>
      <c r="K114">
        <v>127.1</v>
      </c>
      <c r="L114">
        <v>133.80000000000001</v>
      </c>
      <c r="M114">
        <v>120.8</v>
      </c>
      <c r="N114">
        <v>141.30000000000001</v>
      </c>
      <c r="O114">
        <v>123.8</v>
      </c>
      <c r="P114">
        <v>142.6</v>
      </c>
      <c r="Q114">
        <v>133.4</v>
      </c>
      <c r="R114" s="12">
        <f t="shared" si="6"/>
        <v>-7.4906367041194244E-4</v>
      </c>
      <c r="S114">
        <v>148</v>
      </c>
      <c r="T114">
        <v>131.19999999999999</v>
      </c>
      <c r="U114">
        <v>123</v>
      </c>
      <c r="V114">
        <v>130</v>
      </c>
      <c r="W114">
        <v>131.69999999999999</v>
      </c>
      <c r="X114">
        <v>121.4</v>
      </c>
      <c r="Y114" s="12">
        <f t="shared" si="7"/>
        <v>-0.1007407407407407</v>
      </c>
      <c r="Z114">
        <v>126</v>
      </c>
      <c r="AA114">
        <v>123.4</v>
      </c>
      <c r="AB114" s="12">
        <f t="shared" si="8"/>
        <v>-5.8015267175572476E-2</v>
      </c>
      <c r="AC114">
        <v>114.3</v>
      </c>
      <c r="AD114">
        <v>122.6</v>
      </c>
      <c r="AE114">
        <v>133.6</v>
      </c>
      <c r="AF114">
        <v>122.2</v>
      </c>
      <c r="AG114">
        <v>122.5</v>
      </c>
      <c r="AH114">
        <v>129.1</v>
      </c>
      <c r="AI114" s="11">
        <f t="shared" si="9"/>
        <v>-2.8592927012791657E-2</v>
      </c>
    </row>
    <row r="115" spans="1:35" x14ac:dyDescent="0.25">
      <c r="A115" t="s">
        <v>33</v>
      </c>
      <c r="B115">
        <v>2017</v>
      </c>
      <c r="C115">
        <v>4</v>
      </c>
      <c r="D115" s="13">
        <f t="shared" si="5"/>
        <v>42826</v>
      </c>
      <c r="E115">
        <v>133</v>
      </c>
      <c r="F115">
        <v>139.4</v>
      </c>
      <c r="G115">
        <v>126.1</v>
      </c>
      <c r="H115">
        <v>137.19999999999999</v>
      </c>
      <c r="I115">
        <v>118.4</v>
      </c>
      <c r="J115">
        <v>139.9</v>
      </c>
      <c r="K115">
        <v>123.4</v>
      </c>
      <c r="L115">
        <v>140.9</v>
      </c>
      <c r="M115">
        <v>118.5</v>
      </c>
      <c r="N115">
        <v>136.5</v>
      </c>
      <c r="O115">
        <v>127.4</v>
      </c>
      <c r="P115">
        <v>144.19999999999999</v>
      </c>
      <c r="Q115">
        <v>133.5</v>
      </c>
      <c r="R115" s="12">
        <f t="shared" si="6"/>
        <v>7.4962518740625422E-4</v>
      </c>
      <c r="S115">
        <v>145.4</v>
      </c>
      <c r="T115">
        <v>138</v>
      </c>
      <c r="U115">
        <v>131.1</v>
      </c>
      <c r="V115">
        <v>137</v>
      </c>
      <c r="W115">
        <v>131.69999999999999</v>
      </c>
      <c r="X115">
        <v>129.80000000000001</v>
      </c>
      <c r="Y115" s="12">
        <f t="shared" si="7"/>
        <v>6.9192751235584882E-2</v>
      </c>
      <c r="Z115">
        <v>130.4</v>
      </c>
      <c r="AA115">
        <v>128.1</v>
      </c>
      <c r="AB115" s="12">
        <f t="shared" si="8"/>
        <v>3.8087520259319191E-2</v>
      </c>
      <c r="AC115">
        <v>116.6</v>
      </c>
      <c r="AD115">
        <v>125.1</v>
      </c>
      <c r="AE115">
        <v>134.5</v>
      </c>
      <c r="AF115">
        <v>123.1</v>
      </c>
      <c r="AG115">
        <v>125.1</v>
      </c>
      <c r="AH115">
        <v>131.1</v>
      </c>
      <c r="AI115" s="11">
        <f t="shared" si="9"/>
        <v>1.5491866769945779E-2</v>
      </c>
    </row>
    <row r="116" spans="1:35" x14ac:dyDescent="0.25">
      <c r="A116" t="s">
        <v>30</v>
      </c>
      <c r="B116">
        <v>2018</v>
      </c>
      <c r="C116">
        <v>4</v>
      </c>
      <c r="D116" s="13">
        <f t="shared" si="5"/>
        <v>43191</v>
      </c>
      <c r="E116">
        <v>137.1</v>
      </c>
      <c r="F116">
        <v>144.5</v>
      </c>
      <c r="G116">
        <v>135.9</v>
      </c>
      <c r="H116">
        <v>142.4</v>
      </c>
      <c r="I116">
        <v>123.5</v>
      </c>
      <c r="J116">
        <v>156.4</v>
      </c>
      <c r="K116">
        <v>135.1</v>
      </c>
      <c r="L116">
        <v>128.4</v>
      </c>
      <c r="M116">
        <v>115.2</v>
      </c>
      <c r="N116">
        <v>137.19999999999999</v>
      </c>
      <c r="O116">
        <v>131.9</v>
      </c>
      <c r="P116">
        <v>153.80000000000001</v>
      </c>
      <c r="Q116">
        <v>138.6</v>
      </c>
      <c r="R116" s="12">
        <f t="shared" si="6"/>
        <v>3.8202247191011195E-2</v>
      </c>
      <c r="S116">
        <v>156.1</v>
      </c>
      <c r="T116">
        <v>150.1</v>
      </c>
      <c r="U116">
        <v>143.30000000000001</v>
      </c>
      <c r="V116">
        <v>149.1</v>
      </c>
      <c r="W116" t="s">
        <v>31</v>
      </c>
      <c r="X116">
        <v>143.80000000000001</v>
      </c>
      <c r="Y116" s="12">
        <f t="shared" si="7"/>
        <v>0.10785824345146378</v>
      </c>
      <c r="Z116">
        <v>140.9</v>
      </c>
      <c r="AA116">
        <v>137.6</v>
      </c>
      <c r="AB116" s="12">
        <f t="shared" si="8"/>
        <v>7.4160811865729898E-2</v>
      </c>
      <c r="AC116">
        <v>125.3</v>
      </c>
      <c r="AD116">
        <v>136</v>
      </c>
      <c r="AE116">
        <v>143.69999999999999</v>
      </c>
      <c r="AF116">
        <v>130.4</v>
      </c>
      <c r="AG116">
        <v>134.19999999999999</v>
      </c>
      <c r="AH116">
        <v>139.1</v>
      </c>
      <c r="AI116" s="11">
        <f t="shared" si="9"/>
        <v>6.1022120518688029E-2</v>
      </c>
    </row>
    <row r="117" spans="1:35" x14ac:dyDescent="0.25">
      <c r="A117" t="s">
        <v>32</v>
      </c>
      <c r="B117">
        <v>2018</v>
      </c>
      <c r="C117">
        <v>4</v>
      </c>
      <c r="D117" s="13">
        <f t="shared" si="5"/>
        <v>43191</v>
      </c>
      <c r="E117">
        <v>135</v>
      </c>
      <c r="F117">
        <v>144.30000000000001</v>
      </c>
      <c r="G117">
        <v>130.80000000000001</v>
      </c>
      <c r="H117">
        <v>140.30000000000001</v>
      </c>
      <c r="I117">
        <v>116.6</v>
      </c>
      <c r="J117">
        <v>150.1</v>
      </c>
      <c r="K117">
        <v>127.6</v>
      </c>
      <c r="L117">
        <v>114</v>
      </c>
      <c r="M117">
        <v>110.6</v>
      </c>
      <c r="N117">
        <v>140.19999999999999</v>
      </c>
      <c r="O117">
        <v>126.5</v>
      </c>
      <c r="P117">
        <v>148.30000000000001</v>
      </c>
      <c r="Q117">
        <v>135.69999999999999</v>
      </c>
      <c r="R117" s="12">
        <f t="shared" si="6"/>
        <v>-2.0923520923520966E-2</v>
      </c>
      <c r="S117">
        <v>159.19999999999999</v>
      </c>
      <c r="T117">
        <v>137.80000000000001</v>
      </c>
      <c r="U117">
        <v>127.4</v>
      </c>
      <c r="V117">
        <v>136.19999999999999</v>
      </c>
      <c r="W117">
        <v>142.9</v>
      </c>
      <c r="X117">
        <v>124.6</v>
      </c>
      <c r="Y117" s="12">
        <f t="shared" si="7"/>
        <v>-0.13351877607788606</v>
      </c>
      <c r="Z117">
        <v>131.80000000000001</v>
      </c>
      <c r="AA117">
        <v>131.30000000000001</v>
      </c>
      <c r="AB117" s="12">
        <f t="shared" si="8"/>
        <v>-4.5784883720930113E-2</v>
      </c>
      <c r="AC117">
        <v>118.9</v>
      </c>
      <c r="AD117">
        <v>127.6</v>
      </c>
      <c r="AE117">
        <v>139.69999999999999</v>
      </c>
      <c r="AF117">
        <v>127.6</v>
      </c>
      <c r="AG117">
        <v>128.19999999999999</v>
      </c>
      <c r="AH117">
        <v>134.80000000000001</v>
      </c>
      <c r="AI117" s="11">
        <f t="shared" si="9"/>
        <v>-3.0913012221423314E-2</v>
      </c>
    </row>
    <row r="118" spans="1:35" x14ac:dyDescent="0.25">
      <c r="A118" t="s">
        <v>33</v>
      </c>
      <c r="B118">
        <v>2018</v>
      </c>
      <c r="C118">
        <v>4</v>
      </c>
      <c r="D118" s="13">
        <f t="shared" si="5"/>
        <v>43191</v>
      </c>
      <c r="E118">
        <v>136.4</v>
      </c>
      <c r="F118">
        <v>144.4</v>
      </c>
      <c r="G118">
        <v>133.9</v>
      </c>
      <c r="H118">
        <v>141.6</v>
      </c>
      <c r="I118">
        <v>121</v>
      </c>
      <c r="J118">
        <v>153.5</v>
      </c>
      <c r="K118">
        <v>132.6</v>
      </c>
      <c r="L118">
        <v>123.5</v>
      </c>
      <c r="M118">
        <v>113.7</v>
      </c>
      <c r="N118">
        <v>138.19999999999999</v>
      </c>
      <c r="O118">
        <v>129.6</v>
      </c>
      <c r="P118">
        <v>151.19999999999999</v>
      </c>
      <c r="Q118">
        <v>137.5</v>
      </c>
      <c r="R118" s="12">
        <f t="shared" si="6"/>
        <v>1.3264554163596252E-2</v>
      </c>
      <c r="S118">
        <v>156.9</v>
      </c>
      <c r="T118">
        <v>145.30000000000001</v>
      </c>
      <c r="U118">
        <v>136.69999999999999</v>
      </c>
      <c r="V118">
        <v>144</v>
      </c>
      <c r="W118">
        <v>142.9</v>
      </c>
      <c r="X118">
        <v>136.5</v>
      </c>
      <c r="Y118" s="12">
        <f t="shared" si="7"/>
        <v>9.5505617977528143E-2</v>
      </c>
      <c r="Z118">
        <v>136.6</v>
      </c>
      <c r="AA118">
        <v>135.19999999999999</v>
      </c>
      <c r="AB118" s="12">
        <f t="shared" si="8"/>
        <v>2.9702970297029528E-2</v>
      </c>
      <c r="AC118">
        <v>121.9</v>
      </c>
      <c r="AD118">
        <v>131.30000000000001</v>
      </c>
      <c r="AE118">
        <v>141.4</v>
      </c>
      <c r="AF118">
        <v>129.19999999999999</v>
      </c>
      <c r="AG118">
        <v>131.30000000000001</v>
      </c>
      <c r="AH118">
        <v>137.1</v>
      </c>
      <c r="AI118" s="11">
        <f t="shared" si="9"/>
        <v>1.7062314540059218E-2</v>
      </c>
    </row>
    <row r="119" spans="1:35" x14ac:dyDescent="0.25">
      <c r="A119" t="s">
        <v>30</v>
      </c>
      <c r="B119">
        <v>2020</v>
      </c>
      <c r="C119">
        <v>4</v>
      </c>
      <c r="D119" s="13">
        <f t="shared" si="5"/>
        <v>43922</v>
      </c>
      <c r="E119">
        <v>147.19999999999999</v>
      </c>
      <c r="F119">
        <v>167.2</v>
      </c>
      <c r="G119">
        <v>146.9</v>
      </c>
      <c r="H119">
        <v>155.6</v>
      </c>
      <c r="I119">
        <v>137.1</v>
      </c>
      <c r="J119">
        <v>147.30000000000001</v>
      </c>
      <c r="K119">
        <v>162.69999999999999</v>
      </c>
      <c r="L119">
        <v>150.19999999999999</v>
      </c>
      <c r="M119">
        <v>119.8</v>
      </c>
      <c r="N119">
        <v>158.69999999999999</v>
      </c>
      <c r="O119">
        <v>139.19999999999999</v>
      </c>
      <c r="P119">
        <v>159.30000000000001</v>
      </c>
      <c r="Q119">
        <v>150.1</v>
      </c>
      <c r="R119" s="12">
        <f t="shared" si="6"/>
        <v>9.1636363636363599E-2</v>
      </c>
      <c r="S119">
        <v>169.5</v>
      </c>
      <c r="T119">
        <v>153.1</v>
      </c>
      <c r="U119">
        <v>147.5</v>
      </c>
      <c r="V119">
        <v>152.30000000000001</v>
      </c>
      <c r="W119" t="s">
        <v>31</v>
      </c>
      <c r="X119">
        <v>148.4</v>
      </c>
      <c r="Y119" s="12">
        <f t="shared" si="7"/>
        <v>8.7179487179487217E-2</v>
      </c>
      <c r="Z119">
        <v>151.69999999999999</v>
      </c>
      <c r="AA119">
        <v>154.30000000000001</v>
      </c>
      <c r="AB119" s="12">
        <f t="shared" si="8"/>
        <v>0.14127218934911259</v>
      </c>
      <c r="AC119">
        <v>136</v>
      </c>
      <c r="AD119">
        <v>150.6</v>
      </c>
      <c r="AE119">
        <v>161.6</v>
      </c>
      <c r="AF119">
        <v>143.69999999999999</v>
      </c>
      <c r="AG119">
        <v>148.4</v>
      </c>
      <c r="AH119">
        <v>150.69999999999999</v>
      </c>
      <c r="AI119" s="11">
        <f t="shared" si="9"/>
        <v>9.9197665937272028E-2</v>
      </c>
    </row>
    <row r="120" spans="1:35" x14ac:dyDescent="0.25">
      <c r="A120" t="s">
        <v>32</v>
      </c>
      <c r="B120">
        <v>2020</v>
      </c>
      <c r="C120">
        <v>4</v>
      </c>
      <c r="D120" s="13">
        <f t="shared" si="5"/>
        <v>43922</v>
      </c>
      <c r="E120">
        <v>151.80000000000001</v>
      </c>
      <c r="F120">
        <v>167.6</v>
      </c>
      <c r="G120">
        <v>151.9</v>
      </c>
      <c r="H120">
        <v>155.5</v>
      </c>
      <c r="I120">
        <v>131.6</v>
      </c>
      <c r="J120">
        <v>152.9</v>
      </c>
      <c r="K120">
        <v>180</v>
      </c>
      <c r="L120">
        <v>150.80000000000001</v>
      </c>
      <c r="M120">
        <v>121.2</v>
      </c>
      <c r="N120">
        <v>154</v>
      </c>
      <c r="O120">
        <v>133.5</v>
      </c>
      <c r="P120">
        <v>158.9</v>
      </c>
      <c r="Q120">
        <v>153.5</v>
      </c>
      <c r="R120" s="12">
        <f t="shared" si="6"/>
        <v>2.2651565622918094E-2</v>
      </c>
      <c r="S120">
        <v>172</v>
      </c>
      <c r="T120">
        <v>147.30000000000001</v>
      </c>
      <c r="U120">
        <v>133.5</v>
      </c>
      <c r="V120">
        <v>145.19999999999999</v>
      </c>
      <c r="W120">
        <v>155.6</v>
      </c>
      <c r="X120">
        <v>137.1</v>
      </c>
      <c r="Y120" s="12">
        <f t="shared" si="7"/>
        <v>-7.6145552560646979E-2</v>
      </c>
      <c r="Z120">
        <v>140.4</v>
      </c>
      <c r="AA120">
        <v>144.80000000000001</v>
      </c>
      <c r="AB120" s="12">
        <f t="shared" si="8"/>
        <v>-6.1568373298768631E-2</v>
      </c>
      <c r="AC120">
        <v>125.3</v>
      </c>
      <c r="AD120">
        <v>137.6</v>
      </c>
      <c r="AE120">
        <v>152.30000000000001</v>
      </c>
      <c r="AF120">
        <v>143.6</v>
      </c>
      <c r="AG120">
        <v>138.5</v>
      </c>
      <c r="AH120">
        <v>147.69999999999999</v>
      </c>
      <c r="AI120" s="11">
        <f t="shared" si="9"/>
        <v>-1.9907100199071003E-2</v>
      </c>
    </row>
    <row r="121" spans="1:35" x14ac:dyDescent="0.25">
      <c r="A121" t="s">
        <v>33</v>
      </c>
      <c r="B121">
        <v>2020</v>
      </c>
      <c r="C121">
        <v>4</v>
      </c>
      <c r="D121" s="13">
        <f t="shared" si="5"/>
        <v>43922</v>
      </c>
      <c r="E121">
        <v>148.69999999999999</v>
      </c>
      <c r="F121">
        <v>167.3</v>
      </c>
      <c r="G121">
        <v>148.80000000000001</v>
      </c>
      <c r="H121">
        <v>155.6</v>
      </c>
      <c r="I121">
        <v>135.1</v>
      </c>
      <c r="J121">
        <v>149.9</v>
      </c>
      <c r="K121">
        <v>168.6</v>
      </c>
      <c r="L121">
        <v>150.4</v>
      </c>
      <c r="M121">
        <v>120.3</v>
      </c>
      <c r="N121">
        <v>157.1</v>
      </c>
      <c r="O121">
        <v>136.80000000000001</v>
      </c>
      <c r="P121">
        <v>159.1</v>
      </c>
      <c r="Q121">
        <v>151.4</v>
      </c>
      <c r="R121" s="12">
        <f t="shared" si="6"/>
        <v>-1.3680781758957618E-2</v>
      </c>
      <c r="S121">
        <v>170.2</v>
      </c>
      <c r="T121">
        <v>150.80000000000001</v>
      </c>
      <c r="U121">
        <v>141.69999999999999</v>
      </c>
      <c r="V121">
        <v>149.5</v>
      </c>
      <c r="W121">
        <v>155.6</v>
      </c>
      <c r="X121">
        <v>144.1</v>
      </c>
      <c r="Y121" s="12">
        <f t="shared" si="7"/>
        <v>5.1057622173595919E-2</v>
      </c>
      <c r="Z121">
        <v>146.30000000000001</v>
      </c>
      <c r="AA121">
        <v>150.69999999999999</v>
      </c>
      <c r="AB121" s="12">
        <f t="shared" si="8"/>
        <v>4.0745856353591001E-2</v>
      </c>
      <c r="AC121">
        <v>130.4</v>
      </c>
      <c r="AD121">
        <v>143.19999999999999</v>
      </c>
      <c r="AE121">
        <v>156.1</v>
      </c>
      <c r="AF121">
        <v>143.6</v>
      </c>
      <c r="AG121">
        <v>143.6</v>
      </c>
      <c r="AH121">
        <v>149.30000000000001</v>
      </c>
      <c r="AI121" s="11">
        <f t="shared" si="9"/>
        <v>1.0832769126608143E-2</v>
      </c>
    </row>
    <row r="122" spans="1:35" x14ac:dyDescent="0.25">
      <c r="A122" t="s">
        <v>30</v>
      </c>
      <c r="B122">
        <v>2021</v>
      </c>
      <c r="C122">
        <v>4</v>
      </c>
      <c r="D122" s="13">
        <f t="shared" si="5"/>
        <v>44287</v>
      </c>
      <c r="E122">
        <v>142.69999999999999</v>
      </c>
      <c r="F122">
        <v>195.5</v>
      </c>
      <c r="G122">
        <v>163.4</v>
      </c>
      <c r="H122">
        <v>155</v>
      </c>
      <c r="I122">
        <v>175.2</v>
      </c>
      <c r="J122">
        <v>160.6</v>
      </c>
      <c r="K122">
        <v>135.1</v>
      </c>
      <c r="L122">
        <v>161.1</v>
      </c>
      <c r="M122">
        <v>112.2</v>
      </c>
      <c r="N122">
        <v>164.4</v>
      </c>
      <c r="O122">
        <v>161.9</v>
      </c>
      <c r="P122">
        <v>166.8</v>
      </c>
      <c r="Q122">
        <v>155.6</v>
      </c>
      <c r="R122" s="12">
        <f t="shared" si="6"/>
        <v>2.7741083223249592E-2</v>
      </c>
      <c r="S122">
        <v>186.8</v>
      </c>
      <c r="T122">
        <v>160.69999999999999</v>
      </c>
      <c r="U122">
        <v>155.1</v>
      </c>
      <c r="V122">
        <v>159.9</v>
      </c>
      <c r="W122" t="s">
        <v>31</v>
      </c>
      <c r="X122">
        <v>156</v>
      </c>
      <c r="Y122" s="12">
        <f t="shared" si="7"/>
        <v>8.258154059680782E-2</v>
      </c>
      <c r="Z122">
        <v>155.5</v>
      </c>
      <c r="AA122">
        <v>165.3</v>
      </c>
      <c r="AB122" s="12">
        <f t="shared" si="8"/>
        <v>9.6881220968812368E-2</v>
      </c>
      <c r="AC122">
        <v>151.69999999999999</v>
      </c>
      <c r="AD122">
        <v>158.6</v>
      </c>
      <c r="AE122">
        <v>164.1</v>
      </c>
      <c r="AF122">
        <v>154.6</v>
      </c>
      <c r="AG122">
        <v>158</v>
      </c>
      <c r="AH122">
        <v>157.6</v>
      </c>
      <c r="AI122" s="11">
        <f t="shared" si="9"/>
        <v>5.5592766242464717E-2</v>
      </c>
    </row>
    <row r="123" spans="1:35" x14ac:dyDescent="0.25">
      <c r="A123" t="s">
        <v>32</v>
      </c>
      <c r="B123">
        <v>2021</v>
      </c>
      <c r="C123">
        <v>4</v>
      </c>
      <c r="D123" s="13">
        <f t="shared" si="5"/>
        <v>44287</v>
      </c>
      <c r="E123">
        <v>147.6</v>
      </c>
      <c r="F123">
        <v>202.5</v>
      </c>
      <c r="G123">
        <v>166.4</v>
      </c>
      <c r="H123">
        <v>156</v>
      </c>
      <c r="I123">
        <v>161.4</v>
      </c>
      <c r="J123">
        <v>168.8</v>
      </c>
      <c r="K123">
        <v>161.6</v>
      </c>
      <c r="L123">
        <v>162.80000000000001</v>
      </c>
      <c r="M123">
        <v>114.8</v>
      </c>
      <c r="N123">
        <v>162.80000000000001</v>
      </c>
      <c r="O123">
        <v>151.5</v>
      </c>
      <c r="P123">
        <v>171.4</v>
      </c>
      <c r="Q123">
        <v>162</v>
      </c>
      <c r="R123" s="12">
        <f t="shared" si="6"/>
        <v>4.1131105398457622E-2</v>
      </c>
      <c r="S123">
        <v>194.4</v>
      </c>
      <c r="T123">
        <v>155.9</v>
      </c>
      <c r="U123">
        <v>139.30000000000001</v>
      </c>
      <c r="V123">
        <v>153.4</v>
      </c>
      <c r="W123">
        <v>161.4</v>
      </c>
      <c r="X123">
        <v>154.9</v>
      </c>
      <c r="Y123" s="12">
        <f t="shared" si="7"/>
        <v>-7.051282051282015E-3</v>
      </c>
      <c r="Z123">
        <v>147.6</v>
      </c>
      <c r="AA123">
        <v>157.5</v>
      </c>
      <c r="AB123" s="12">
        <f t="shared" si="8"/>
        <v>-4.7186932849364857E-2</v>
      </c>
      <c r="AC123">
        <v>142.1</v>
      </c>
      <c r="AD123">
        <v>149.1</v>
      </c>
      <c r="AE123">
        <v>157.6</v>
      </c>
      <c r="AF123">
        <v>156.6</v>
      </c>
      <c r="AG123">
        <v>150.5</v>
      </c>
      <c r="AH123">
        <v>158</v>
      </c>
      <c r="AI123" s="11">
        <f t="shared" si="9"/>
        <v>2.5380710659898839E-3</v>
      </c>
    </row>
    <row r="124" spans="1:35" x14ac:dyDescent="0.25">
      <c r="A124" t="s">
        <v>33</v>
      </c>
      <c r="B124">
        <v>2021</v>
      </c>
      <c r="C124">
        <v>4</v>
      </c>
      <c r="D124" s="13">
        <f t="shared" si="5"/>
        <v>44287</v>
      </c>
      <c r="E124">
        <v>144.30000000000001</v>
      </c>
      <c r="F124">
        <v>198</v>
      </c>
      <c r="G124">
        <v>164.6</v>
      </c>
      <c r="H124">
        <v>155.4</v>
      </c>
      <c r="I124">
        <v>170.1</v>
      </c>
      <c r="J124">
        <v>164.4</v>
      </c>
      <c r="K124">
        <v>144.1</v>
      </c>
      <c r="L124">
        <v>161.69999999999999</v>
      </c>
      <c r="M124">
        <v>113.1</v>
      </c>
      <c r="N124">
        <v>163.9</v>
      </c>
      <c r="O124">
        <v>157.6</v>
      </c>
      <c r="P124">
        <v>168.9</v>
      </c>
      <c r="Q124">
        <v>158</v>
      </c>
      <c r="R124" s="12">
        <f t="shared" si="6"/>
        <v>-2.4691358024691357E-2</v>
      </c>
      <c r="S124">
        <v>188.8</v>
      </c>
      <c r="T124">
        <v>158.80000000000001</v>
      </c>
      <c r="U124">
        <v>148.5</v>
      </c>
      <c r="V124">
        <v>157.30000000000001</v>
      </c>
      <c r="W124">
        <v>161.4</v>
      </c>
      <c r="X124">
        <v>155.6</v>
      </c>
      <c r="Y124" s="12">
        <f t="shared" si="7"/>
        <v>4.5190445448675832E-3</v>
      </c>
      <c r="Z124">
        <v>151.80000000000001</v>
      </c>
      <c r="AA124">
        <v>162.30000000000001</v>
      </c>
      <c r="AB124" s="12">
        <f t="shared" si="8"/>
        <v>3.0476190476190549E-2</v>
      </c>
      <c r="AC124">
        <v>146.6</v>
      </c>
      <c r="AD124">
        <v>153.19999999999999</v>
      </c>
      <c r="AE124">
        <v>160.30000000000001</v>
      </c>
      <c r="AF124">
        <v>155.4</v>
      </c>
      <c r="AG124">
        <v>154.4</v>
      </c>
      <c r="AH124">
        <v>157.80000000000001</v>
      </c>
      <c r="AI124" s="11">
        <f t="shared" si="9"/>
        <v>-1.2658227848100546E-3</v>
      </c>
    </row>
    <row r="125" spans="1:35" x14ac:dyDescent="0.25">
      <c r="A125" t="s">
        <v>30</v>
      </c>
      <c r="B125">
        <v>2022</v>
      </c>
      <c r="C125">
        <v>4</v>
      </c>
      <c r="D125" s="13">
        <f t="shared" si="5"/>
        <v>44652</v>
      </c>
      <c r="E125">
        <v>151.80000000000001</v>
      </c>
      <c r="F125">
        <v>209.7</v>
      </c>
      <c r="G125">
        <v>164.5</v>
      </c>
      <c r="H125">
        <v>163.80000000000001</v>
      </c>
      <c r="I125">
        <v>207.4</v>
      </c>
      <c r="J125">
        <v>169.7</v>
      </c>
      <c r="K125">
        <v>153.6</v>
      </c>
      <c r="L125">
        <v>165.1</v>
      </c>
      <c r="M125">
        <v>118.2</v>
      </c>
      <c r="N125">
        <v>182.9</v>
      </c>
      <c r="O125">
        <v>172.4</v>
      </c>
      <c r="P125">
        <v>178.9</v>
      </c>
      <c r="Q125">
        <v>168.6</v>
      </c>
      <c r="R125" s="12">
        <f t="shared" si="6"/>
        <v>6.7088607594936678E-2</v>
      </c>
      <c r="S125">
        <v>192.8</v>
      </c>
      <c r="T125">
        <v>177.5</v>
      </c>
      <c r="U125">
        <v>175.1</v>
      </c>
      <c r="V125">
        <v>177.1</v>
      </c>
      <c r="W125" t="s">
        <v>31</v>
      </c>
      <c r="X125">
        <v>173.3</v>
      </c>
      <c r="Y125" s="12">
        <f t="shared" si="7"/>
        <v>0.11375321336760937</v>
      </c>
      <c r="Z125">
        <v>167.7</v>
      </c>
      <c r="AA125">
        <v>177</v>
      </c>
      <c r="AB125" s="12">
        <f t="shared" si="8"/>
        <v>9.0573012939001774E-2</v>
      </c>
      <c r="AC125">
        <v>166.2</v>
      </c>
      <c r="AD125">
        <v>167.2</v>
      </c>
      <c r="AE125">
        <v>170.9</v>
      </c>
      <c r="AF125">
        <v>169</v>
      </c>
      <c r="AG125">
        <v>170.2</v>
      </c>
      <c r="AH125">
        <v>170.8</v>
      </c>
      <c r="AI125" s="11">
        <f t="shared" si="9"/>
        <v>8.2382762991127997E-2</v>
      </c>
    </row>
    <row r="126" spans="1:35" x14ac:dyDescent="0.25">
      <c r="A126" t="s">
        <v>32</v>
      </c>
      <c r="B126">
        <v>2022</v>
      </c>
      <c r="C126">
        <v>4</v>
      </c>
      <c r="D126" s="13">
        <f t="shared" si="5"/>
        <v>44652</v>
      </c>
      <c r="E126">
        <v>155.4</v>
      </c>
      <c r="F126">
        <v>215.8</v>
      </c>
      <c r="G126">
        <v>164.6</v>
      </c>
      <c r="H126">
        <v>164.2</v>
      </c>
      <c r="I126">
        <v>186</v>
      </c>
      <c r="J126">
        <v>175.9</v>
      </c>
      <c r="K126">
        <v>190.7</v>
      </c>
      <c r="L126">
        <v>164</v>
      </c>
      <c r="M126">
        <v>120.5</v>
      </c>
      <c r="N126">
        <v>178</v>
      </c>
      <c r="O126">
        <v>157.5</v>
      </c>
      <c r="P126">
        <v>183.3</v>
      </c>
      <c r="Q126">
        <v>174.5</v>
      </c>
      <c r="R126" s="12">
        <f t="shared" si="6"/>
        <v>3.4994068801898016E-2</v>
      </c>
      <c r="S126">
        <v>197.1</v>
      </c>
      <c r="T126">
        <v>168.4</v>
      </c>
      <c r="U126">
        <v>154.5</v>
      </c>
      <c r="V126">
        <v>166.3</v>
      </c>
      <c r="W126">
        <v>167</v>
      </c>
      <c r="X126">
        <v>170.5</v>
      </c>
      <c r="Y126" s="12">
        <f t="shared" si="7"/>
        <v>-1.615695326024242E-2</v>
      </c>
      <c r="Z126">
        <v>159.80000000000001</v>
      </c>
      <c r="AA126">
        <v>169</v>
      </c>
      <c r="AB126" s="12">
        <f t="shared" si="8"/>
        <v>-4.519774011299435E-2</v>
      </c>
      <c r="AC126">
        <v>159.30000000000001</v>
      </c>
      <c r="AD126">
        <v>162.19999999999999</v>
      </c>
      <c r="AE126">
        <v>164</v>
      </c>
      <c r="AF126">
        <v>168.4</v>
      </c>
      <c r="AG126">
        <v>163.1</v>
      </c>
      <c r="AH126">
        <v>169.2</v>
      </c>
      <c r="AI126" s="11">
        <f t="shared" si="9"/>
        <v>-9.3676814988291716E-3</v>
      </c>
    </row>
    <row r="127" spans="1:35" x14ac:dyDescent="0.25">
      <c r="A127" t="s">
        <v>33</v>
      </c>
      <c r="B127">
        <v>2022</v>
      </c>
      <c r="C127">
        <v>4</v>
      </c>
      <c r="D127" s="13">
        <f t="shared" si="5"/>
        <v>44652</v>
      </c>
      <c r="E127">
        <v>152.9</v>
      </c>
      <c r="F127">
        <v>211.8</v>
      </c>
      <c r="G127">
        <v>164.5</v>
      </c>
      <c r="H127">
        <v>163.9</v>
      </c>
      <c r="I127">
        <v>199.5</v>
      </c>
      <c r="J127">
        <v>172.6</v>
      </c>
      <c r="K127">
        <v>166.2</v>
      </c>
      <c r="L127">
        <v>164.7</v>
      </c>
      <c r="M127">
        <v>119</v>
      </c>
      <c r="N127">
        <v>181.3</v>
      </c>
      <c r="O127">
        <v>166.2</v>
      </c>
      <c r="P127">
        <v>180.9</v>
      </c>
      <c r="Q127">
        <v>170.8</v>
      </c>
      <c r="R127" s="12">
        <f t="shared" si="6"/>
        <v>-2.1203438395415407E-2</v>
      </c>
      <c r="S127">
        <v>193.9</v>
      </c>
      <c r="T127">
        <v>173.9</v>
      </c>
      <c r="U127">
        <v>166.5</v>
      </c>
      <c r="V127">
        <v>172.8</v>
      </c>
      <c r="W127">
        <v>167</v>
      </c>
      <c r="X127">
        <v>172.2</v>
      </c>
      <c r="Y127" s="12">
        <f t="shared" si="7"/>
        <v>9.9706744868034523E-3</v>
      </c>
      <c r="Z127">
        <v>164</v>
      </c>
      <c r="AA127">
        <v>174</v>
      </c>
      <c r="AB127" s="12">
        <f t="shared" si="8"/>
        <v>2.9585798816568046E-2</v>
      </c>
      <c r="AC127">
        <v>162.6</v>
      </c>
      <c r="AD127">
        <v>164.4</v>
      </c>
      <c r="AE127">
        <v>166.9</v>
      </c>
      <c r="AF127">
        <v>168.8</v>
      </c>
      <c r="AG127">
        <v>166.8</v>
      </c>
      <c r="AH127">
        <v>170.1</v>
      </c>
      <c r="AI127" s="11">
        <f t="shared" si="9"/>
        <v>5.3191489361702465E-3</v>
      </c>
    </row>
    <row r="128" spans="1:35" x14ac:dyDescent="0.25">
      <c r="A128" t="s">
        <v>30</v>
      </c>
      <c r="B128">
        <v>2023</v>
      </c>
      <c r="C128">
        <v>4</v>
      </c>
      <c r="D128" s="13">
        <f t="shared" si="5"/>
        <v>45017</v>
      </c>
      <c r="E128">
        <v>173.3</v>
      </c>
      <c r="F128">
        <v>206.9</v>
      </c>
      <c r="G128">
        <v>167.9</v>
      </c>
      <c r="H128">
        <v>178.2</v>
      </c>
      <c r="I128">
        <v>178.5</v>
      </c>
      <c r="J128">
        <v>173.7</v>
      </c>
      <c r="K128">
        <v>142.80000000000001</v>
      </c>
      <c r="L128">
        <v>172.8</v>
      </c>
      <c r="M128">
        <v>120.4</v>
      </c>
      <c r="N128">
        <v>215.5</v>
      </c>
      <c r="O128">
        <v>178.2</v>
      </c>
      <c r="P128">
        <v>190.5</v>
      </c>
      <c r="Q128">
        <v>175.5</v>
      </c>
      <c r="R128" s="12">
        <f t="shared" si="6"/>
        <v>2.7517564402810234E-2</v>
      </c>
      <c r="S128">
        <v>199.5</v>
      </c>
      <c r="T128">
        <v>190.7</v>
      </c>
      <c r="U128">
        <v>187.3</v>
      </c>
      <c r="V128">
        <v>190.2</v>
      </c>
      <c r="W128" t="s">
        <v>31</v>
      </c>
      <c r="X128">
        <v>181.5</v>
      </c>
      <c r="Y128" s="12">
        <f t="shared" si="7"/>
        <v>5.4006968641115052E-2</v>
      </c>
      <c r="Z128">
        <v>179.1</v>
      </c>
      <c r="AA128">
        <v>187.2</v>
      </c>
      <c r="AB128" s="12">
        <f t="shared" si="8"/>
        <v>7.5862068965517171E-2</v>
      </c>
      <c r="AC128">
        <v>169.4</v>
      </c>
      <c r="AD128">
        <v>173.2</v>
      </c>
      <c r="AE128">
        <v>179.4</v>
      </c>
      <c r="AF128">
        <v>183.8</v>
      </c>
      <c r="AG128">
        <v>178.9</v>
      </c>
      <c r="AH128">
        <v>178.8</v>
      </c>
      <c r="AI128" s="11">
        <f t="shared" si="9"/>
        <v>5.1146384479717914E-2</v>
      </c>
    </row>
    <row r="129" spans="1:35" x14ac:dyDescent="0.25">
      <c r="A129" t="s">
        <v>32</v>
      </c>
      <c r="B129">
        <v>2023</v>
      </c>
      <c r="C129">
        <v>4</v>
      </c>
      <c r="D129" s="13">
        <f t="shared" si="5"/>
        <v>45017</v>
      </c>
      <c r="E129">
        <v>174.8</v>
      </c>
      <c r="F129">
        <v>213.7</v>
      </c>
      <c r="G129">
        <v>172.4</v>
      </c>
      <c r="H129">
        <v>178.8</v>
      </c>
      <c r="I129">
        <v>168.7</v>
      </c>
      <c r="J129">
        <v>179.2</v>
      </c>
      <c r="K129">
        <v>179.9</v>
      </c>
      <c r="L129">
        <v>174.7</v>
      </c>
      <c r="M129">
        <v>123.1</v>
      </c>
      <c r="N129">
        <v>207.8</v>
      </c>
      <c r="O129">
        <v>165.5</v>
      </c>
      <c r="P129">
        <v>197</v>
      </c>
      <c r="Q129">
        <v>182.1</v>
      </c>
      <c r="R129" s="12">
        <f t="shared" si="6"/>
        <v>3.7606837606837577E-2</v>
      </c>
      <c r="S129">
        <v>203.5</v>
      </c>
      <c r="T129">
        <v>181</v>
      </c>
      <c r="U129">
        <v>167.7</v>
      </c>
      <c r="V129">
        <v>178.9</v>
      </c>
      <c r="W129">
        <v>175.2</v>
      </c>
      <c r="X129">
        <v>182.1</v>
      </c>
      <c r="Y129" s="12">
        <f t="shared" si="7"/>
        <v>3.3057851239669108E-3</v>
      </c>
      <c r="Z129">
        <v>169.6</v>
      </c>
      <c r="AA129">
        <v>181.5</v>
      </c>
      <c r="AB129" s="12">
        <f t="shared" si="8"/>
        <v>-3.0448717948717889E-2</v>
      </c>
      <c r="AC129">
        <v>160.1</v>
      </c>
      <c r="AD129">
        <v>168.8</v>
      </c>
      <c r="AE129">
        <v>174.2</v>
      </c>
      <c r="AF129">
        <v>184.4</v>
      </c>
      <c r="AG129">
        <v>170.9</v>
      </c>
      <c r="AH129">
        <v>177.4</v>
      </c>
      <c r="AI129" s="11">
        <f t="shared" si="9"/>
        <v>-7.8299776286353782E-3</v>
      </c>
    </row>
    <row r="130" spans="1:35" x14ac:dyDescent="0.25">
      <c r="A130" t="s">
        <v>33</v>
      </c>
      <c r="B130">
        <v>2023</v>
      </c>
      <c r="C130">
        <v>4</v>
      </c>
      <c r="D130" s="13">
        <f t="shared" si="5"/>
        <v>45017</v>
      </c>
      <c r="E130">
        <v>173.8</v>
      </c>
      <c r="F130">
        <v>209.3</v>
      </c>
      <c r="G130">
        <v>169.6</v>
      </c>
      <c r="H130">
        <v>178.4</v>
      </c>
      <c r="I130">
        <v>174.9</v>
      </c>
      <c r="J130">
        <v>176.3</v>
      </c>
      <c r="K130">
        <v>155.4</v>
      </c>
      <c r="L130">
        <v>173.4</v>
      </c>
      <c r="M130">
        <v>121.3</v>
      </c>
      <c r="N130">
        <v>212.9</v>
      </c>
      <c r="O130">
        <v>172.9</v>
      </c>
      <c r="P130">
        <v>193.5</v>
      </c>
      <c r="Q130">
        <v>177.9</v>
      </c>
      <c r="R130" s="12">
        <f t="shared" si="6"/>
        <v>-2.3064250411861553E-2</v>
      </c>
      <c r="S130">
        <v>200.6</v>
      </c>
      <c r="T130">
        <v>186.9</v>
      </c>
      <c r="U130">
        <v>179.2</v>
      </c>
      <c r="V130">
        <v>185.7</v>
      </c>
      <c r="W130">
        <v>175.2</v>
      </c>
      <c r="X130">
        <v>181.7</v>
      </c>
      <c r="Y130" s="12">
        <f t="shared" si="7"/>
        <v>-2.196595277320185E-3</v>
      </c>
      <c r="Z130">
        <v>174.6</v>
      </c>
      <c r="AA130">
        <v>185</v>
      </c>
      <c r="AB130" s="12">
        <f t="shared" si="8"/>
        <v>1.928374655647383E-2</v>
      </c>
      <c r="AC130">
        <v>164.5</v>
      </c>
      <c r="AD130">
        <v>170.7</v>
      </c>
      <c r="AE130">
        <v>176.4</v>
      </c>
      <c r="AF130">
        <v>184</v>
      </c>
      <c r="AG130">
        <v>175</v>
      </c>
      <c r="AH130">
        <v>178.1</v>
      </c>
      <c r="AI130" s="11">
        <f t="shared" si="9"/>
        <v>3.9458850056369142E-3</v>
      </c>
    </row>
    <row r="131" spans="1:35" x14ac:dyDescent="0.25">
      <c r="A131" t="s">
        <v>30</v>
      </c>
      <c r="B131">
        <v>2013</v>
      </c>
      <c r="C131">
        <v>5</v>
      </c>
      <c r="D131" s="13">
        <f t="shared" ref="D131:D194" si="10">DATE(B131,C131,1)</f>
        <v>41395</v>
      </c>
      <c r="E131">
        <v>110.9</v>
      </c>
      <c r="F131">
        <v>109.8</v>
      </c>
      <c r="G131">
        <v>105.9</v>
      </c>
      <c r="H131">
        <v>107.5</v>
      </c>
      <c r="I131">
        <v>105.3</v>
      </c>
      <c r="J131">
        <v>108.1</v>
      </c>
      <c r="K131">
        <v>107.3</v>
      </c>
      <c r="L131">
        <v>106.1</v>
      </c>
      <c r="M131">
        <v>103.7</v>
      </c>
      <c r="N131">
        <v>104</v>
      </c>
      <c r="O131">
        <v>107.4</v>
      </c>
      <c r="P131">
        <v>109.9</v>
      </c>
      <c r="Q131">
        <v>108.1</v>
      </c>
      <c r="R131" s="12">
        <f t="shared" ref="R131:R194" si="11">(Q131-Q130)/Q130</f>
        <v>-0.39235525576166391</v>
      </c>
      <c r="S131">
        <v>108.1</v>
      </c>
      <c r="T131">
        <v>108.8</v>
      </c>
      <c r="U131">
        <v>107.9</v>
      </c>
      <c r="V131">
        <v>108.6</v>
      </c>
      <c r="W131" t="s">
        <v>31</v>
      </c>
      <c r="X131">
        <v>107.5</v>
      </c>
      <c r="Y131" s="12">
        <f t="shared" ref="Y131:Y194" si="12">(X131-X130)/X130</f>
        <v>-0.4083654375343973</v>
      </c>
      <c r="Z131">
        <v>106.8</v>
      </c>
      <c r="AA131">
        <v>105.7</v>
      </c>
      <c r="AB131" s="12">
        <f t="shared" ref="AB131:AB194" si="13">(AA131-AA130)/AA130</f>
        <v>-0.42864864864864866</v>
      </c>
      <c r="AC131">
        <v>104.1</v>
      </c>
      <c r="AD131">
        <v>105</v>
      </c>
      <c r="AE131">
        <v>105.5</v>
      </c>
      <c r="AF131">
        <v>102.1</v>
      </c>
      <c r="AG131">
        <v>104.8</v>
      </c>
      <c r="AH131">
        <v>107.2</v>
      </c>
      <c r="AI131" s="11">
        <f t="shared" si="9"/>
        <v>-0.3980909601347557</v>
      </c>
    </row>
    <row r="132" spans="1:35" x14ac:dyDescent="0.25">
      <c r="A132" t="s">
        <v>32</v>
      </c>
      <c r="B132">
        <v>2013</v>
      </c>
      <c r="C132">
        <v>5</v>
      </c>
      <c r="D132" s="13">
        <f t="shared" si="10"/>
        <v>41395</v>
      </c>
      <c r="E132">
        <v>115.4</v>
      </c>
      <c r="F132">
        <v>114.2</v>
      </c>
      <c r="G132">
        <v>102.7</v>
      </c>
      <c r="H132">
        <v>105.5</v>
      </c>
      <c r="I132">
        <v>101.5</v>
      </c>
      <c r="J132">
        <v>110.6</v>
      </c>
      <c r="K132">
        <v>123.7</v>
      </c>
      <c r="L132">
        <v>105.2</v>
      </c>
      <c r="M132">
        <v>101.9</v>
      </c>
      <c r="N132">
        <v>105</v>
      </c>
      <c r="O132">
        <v>109.1</v>
      </c>
      <c r="P132">
        <v>111.3</v>
      </c>
      <c r="Q132">
        <v>111.1</v>
      </c>
      <c r="R132" s="12">
        <f t="shared" si="11"/>
        <v>2.775208140610546E-2</v>
      </c>
      <c r="S132">
        <v>109.8</v>
      </c>
      <c r="T132">
        <v>108.5</v>
      </c>
      <c r="U132">
        <v>106.7</v>
      </c>
      <c r="V132">
        <v>108.3</v>
      </c>
      <c r="W132">
        <v>100.5</v>
      </c>
      <c r="X132">
        <v>107.2</v>
      </c>
      <c r="Y132" s="12">
        <f t="shared" si="12"/>
        <v>-2.7906976744185782E-3</v>
      </c>
      <c r="Z132">
        <v>107.1</v>
      </c>
      <c r="AA132">
        <v>106.2</v>
      </c>
      <c r="AB132" s="12">
        <f t="shared" si="13"/>
        <v>4.7303689687795648E-3</v>
      </c>
      <c r="AC132">
        <v>103.9</v>
      </c>
      <c r="AD132">
        <v>104.6</v>
      </c>
      <c r="AE132">
        <v>105.7</v>
      </c>
      <c r="AF132">
        <v>102.6</v>
      </c>
      <c r="AG132">
        <v>104.9</v>
      </c>
      <c r="AH132">
        <v>106.6</v>
      </c>
      <c r="AI132" s="11">
        <f t="shared" ref="AI132:AI195" si="14">(AH132-AH131)/AH131</f>
        <v>-5.5970149253732138E-3</v>
      </c>
    </row>
    <row r="133" spans="1:35" x14ac:dyDescent="0.25">
      <c r="A133" t="s">
        <v>33</v>
      </c>
      <c r="B133">
        <v>2013</v>
      </c>
      <c r="C133">
        <v>5</v>
      </c>
      <c r="D133" s="13">
        <f t="shared" si="10"/>
        <v>41395</v>
      </c>
      <c r="E133">
        <v>112.3</v>
      </c>
      <c r="F133">
        <v>111.3</v>
      </c>
      <c r="G133">
        <v>104.7</v>
      </c>
      <c r="H133">
        <v>106.8</v>
      </c>
      <c r="I133">
        <v>103.9</v>
      </c>
      <c r="J133">
        <v>109.3</v>
      </c>
      <c r="K133">
        <v>112.9</v>
      </c>
      <c r="L133">
        <v>105.8</v>
      </c>
      <c r="M133">
        <v>103.1</v>
      </c>
      <c r="N133">
        <v>104.3</v>
      </c>
      <c r="O133">
        <v>108.1</v>
      </c>
      <c r="P133">
        <v>110.5</v>
      </c>
      <c r="Q133">
        <v>109.2</v>
      </c>
      <c r="R133" s="12">
        <f t="shared" si="11"/>
        <v>-1.7101710171017026E-2</v>
      </c>
      <c r="S133">
        <v>108.6</v>
      </c>
      <c r="T133">
        <v>108.7</v>
      </c>
      <c r="U133">
        <v>107.4</v>
      </c>
      <c r="V133">
        <v>108.5</v>
      </c>
      <c r="W133">
        <v>100.5</v>
      </c>
      <c r="X133">
        <v>107.4</v>
      </c>
      <c r="Y133" s="12">
        <f t="shared" si="12"/>
        <v>1.8656716417910712E-3</v>
      </c>
      <c r="Z133">
        <v>106.9</v>
      </c>
      <c r="AA133">
        <v>105.9</v>
      </c>
      <c r="AB133" s="12">
        <f t="shared" si="13"/>
        <v>-2.82485875706212E-3</v>
      </c>
      <c r="AC133">
        <v>104</v>
      </c>
      <c r="AD133">
        <v>104.8</v>
      </c>
      <c r="AE133">
        <v>105.6</v>
      </c>
      <c r="AF133">
        <v>102.3</v>
      </c>
      <c r="AG133">
        <v>104.8</v>
      </c>
      <c r="AH133">
        <v>106.9</v>
      </c>
      <c r="AI133" s="11">
        <f t="shared" si="14"/>
        <v>2.8142589118199941E-3</v>
      </c>
    </row>
    <row r="134" spans="1:35" x14ac:dyDescent="0.25">
      <c r="A134" t="s">
        <v>30</v>
      </c>
      <c r="B134">
        <v>2014</v>
      </c>
      <c r="C134">
        <v>5</v>
      </c>
      <c r="D134" s="13">
        <f t="shared" si="10"/>
        <v>41760</v>
      </c>
      <c r="E134">
        <v>120.3</v>
      </c>
      <c r="F134">
        <v>120.2</v>
      </c>
      <c r="G134">
        <v>116.9</v>
      </c>
      <c r="H134">
        <v>118</v>
      </c>
      <c r="I134">
        <v>110.1</v>
      </c>
      <c r="J134">
        <v>126.3</v>
      </c>
      <c r="K134">
        <v>123.9</v>
      </c>
      <c r="L134">
        <v>111.5</v>
      </c>
      <c r="M134">
        <v>103.5</v>
      </c>
      <c r="N134">
        <v>111.6</v>
      </c>
      <c r="O134">
        <v>114.2</v>
      </c>
      <c r="P134">
        <v>119.2</v>
      </c>
      <c r="Q134">
        <v>118.2</v>
      </c>
      <c r="R134" s="12">
        <f t="shared" si="11"/>
        <v>8.2417582417582416E-2</v>
      </c>
      <c r="S134">
        <v>116.3</v>
      </c>
      <c r="T134">
        <v>118.7</v>
      </c>
      <c r="U134">
        <v>116.8</v>
      </c>
      <c r="V134">
        <v>118.5</v>
      </c>
      <c r="W134" t="s">
        <v>31</v>
      </c>
      <c r="X134">
        <v>113.4</v>
      </c>
      <c r="Y134" s="12">
        <f t="shared" si="12"/>
        <v>5.5865921787709494E-2</v>
      </c>
      <c r="Z134">
        <v>114.1</v>
      </c>
      <c r="AA134">
        <v>112.1</v>
      </c>
      <c r="AB134" s="12">
        <f t="shared" si="13"/>
        <v>5.8545797922568352E-2</v>
      </c>
      <c r="AC134">
        <v>111.4</v>
      </c>
      <c r="AD134">
        <v>110.9</v>
      </c>
      <c r="AE134">
        <v>113.1</v>
      </c>
      <c r="AF134">
        <v>108.9</v>
      </c>
      <c r="AG134">
        <v>111.8</v>
      </c>
      <c r="AH134">
        <v>116</v>
      </c>
      <c r="AI134" s="11">
        <f t="shared" si="14"/>
        <v>8.5126286248830632E-2</v>
      </c>
    </row>
    <row r="135" spans="1:35" x14ac:dyDescent="0.25">
      <c r="A135" t="s">
        <v>32</v>
      </c>
      <c r="B135">
        <v>2014</v>
      </c>
      <c r="C135">
        <v>5</v>
      </c>
      <c r="D135" s="13">
        <f t="shared" si="10"/>
        <v>41760</v>
      </c>
      <c r="E135">
        <v>122.7</v>
      </c>
      <c r="F135">
        <v>124.1</v>
      </c>
      <c r="G135">
        <v>114.2</v>
      </c>
      <c r="H135">
        <v>119.1</v>
      </c>
      <c r="I135">
        <v>103.5</v>
      </c>
      <c r="J135">
        <v>129.19999999999999</v>
      </c>
      <c r="K135">
        <v>127</v>
      </c>
      <c r="L135">
        <v>112.6</v>
      </c>
      <c r="M135">
        <v>101.3</v>
      </c>
      <c r="N135">
        <v>117</v>
      </c>
      <c r="O135">
        <v>112.9</v>
      </c>
      <c r="P135">
        <v>121.7</v>
      </c>
      <c r="Q135">
        <v>120</v>
      </c>
      <c r="R135" s="12">
        <f t="shared" si="11"/>
        <v>1.5228426395939063E-2</v>
      </c>
      <c r="S135">
        <v>118.3</v>
      </c>
      <c r="T135">
        <v>116.8</v>
      </c>
      <c r="U135">
        <v>112.9</v>
      </c>
      <c r="V135">
        <v>116.2</v>
      </c>
      <c r="W135">
        <v>114.3</v>
      </c>
      <c r="X135">
        <v>111.1</v>
      </c>
      <c r="Y135" s="12">
        <f t="shared" si="12"/>
        <v>-2.0282186948853715E-2</v>
      </c>
      <c r="Z135">
        <v>114.1</v>
      </c>
      <c r="AA135">
        <v>111.2</v>
      </c>
      <c r="AB135" s="12">
        <f t="shared" si="13"/>
        <v>-8.0285459411239216E-3</v>
      </c>
      <c r="AC135">
        <v>111.3</v>
      </c>
      <c r="AD135">
        <v>111.5</v>
      </c>
      <c r="AE135">
        <v>112.9</v>
      </c>
      <c r="AF135">
        <v>109.3</v>
      </c>
      <c r="AG135">
        <v>111.7</v>
      </c>
      <c r="AH135">
        <v>115.6</v>
      </c>
      <c r="AI135" s="11">
        <f t="shared" si="14"/>
        <v>-3.4482758620690145E-3</v>
      </c>
    </row>
    <row r="136" spans="1:35" x14ac:dyDescent="0.25">
      <c r="A136" t="s">
        <v>33</v>
      </c>
      <c r="B136">
        <v>2014</v>
      </c>
      <c r="C136">
        <v>5</v>
      </c>
      <c r="D136" s="13">
        <f t="shared" si="10"/>
        <v>41760</v>
      </c>
      <c r="E136">
        <v>121.1</v>
      </c>
      <c r="F136">
        <v>121.6</v>
      </c>
      <c r="G136">
        <v>115.9</v>
      </c>
      <c r="H136">
        <v>118.4</v>
      </c>
      <c r="I136">
        <v>107.7</v>
      </c>
      <c r="J136">
        <v>127.7</v>
      </c>
      <c r="K136">
        <v>125</v>
      </c>
      <c r="L136">
        <v>111.9</v>
      </c>
      <c r="M136">
        <v>102.8</v>
      </c>
      <c r="N136">
        <v>113.4</v>
      </c>
      <c r="O136">
        <v>113.7</v>
      </c>
      <c r="P136">
        <v>120.4</v>
      </c>
      <c r="Q136">
        <v>118.9</v>
      </c>
      <c r="R136" s="12">
        <f t="shared" si="11"/>
        <v>-9.1666666666666199E-3</v>
      </c>
      <c r="S136">
        <v>116.8</v>
      </c>
      <c r="T136">
        <v>118</v>
      </c>
      <c r="U136">
        <v>115.2</v>
      </c>
      <c r="V136">
        <v>117.6</v>
      </c>
      <c r="W136">
        <v>114.3</v>
      </c>
      <c r="X136">
        <v>112.5</v>
      </c>
      <c r="Y136" s="12">
        <f t="shared" si="12"/>
        <v>1.2601260126012653E-2</v>
      </c>
      <c r="Z136">
        <v>114.1</v>
      </c>
      <c r="AA136">
        <v>111.8</v>
      </c>
      <c r="AB136" s="12">
        <f t="shared" si="13"/>
        <v>5.3956834532373592E-3</v>
      </c>
      <c r="AC136">
        <v>111.3</v>
      </c>
      <c r="AD136">
        <v>111.2</v>
      </c>
      <c r="AE136">
        <v>113</v>
      </c>
      <c r="AF136">
        <v>109.1</v>
      </c>
      <c r="AG136">
        <v>111.8</v>
      </c>
      <c r="AH136">
        <v>115.8</v>
      </c>
      <c r="AI136" s="11">
        <f t="shared" si="14"/>
        <v>1.7301038062283985E-3</v>
      </c>
    </row>
    <row r="137" spans="1:35" x14ac:dyDescent="0.25">
      <c r="A137" t="s">
        <v>30</v>
      </c>
      <c r="B137">
        <v>2015</v>
      </c>
      <c r="C137">
        <v>5</v>
      </c>
      <c r="D137" s="13">
        <f t="shared" si="10"/>
        <v>42125</v>
      </c>
      <c r="E137">
        <v>123.5</v>
      </c>
      <c r="F137">
        <v>127.1</v>
      </c>
      <c r="G137">
        <v>117.3</v>
      </c>
      <c r="H137">
        <v>127.7</v>
      </c>
      <c r="I137">
        <v>112.5</v>
      </c>
      <c r="J137">
        <v>134.1</v>
      </c>
      <c r="K137">
        <v>128.5</v>
      </c>
      <c r="L137">
        <v>124.3</v>
      </c>
      <c r="M137">
        <v>97.6</v>
      </c>
      <c r="N137">
        <v>120.7</v>
      </c>
      <c r="O137">
        <v>120.2</v>
      </c>
      <c r="P137">
        <v>129.80000000000001</v>
      </c>
      <c r="Q137">
        <v>124.4</v>
      </c>
      <c r="R137" s="12">
        <f t="shared" si="11"/>
        <v>4.6257359125315388E-2</v>
      </c>
      <c r="S137">
        <v>126.7</v>
      </c>
      <c r="T137">
        <v>127.3</v>
      </c>
      <c r="U137">
        <v>124.1</v>
      </c>
      <c r="V137">
        <v>126.8</v>
      </c>
      <c r="W137" t="s">
        <v>31</v>
      </c>
      <c r="X137">
        <v>121.9</v>
      </c>
      <c r="Y137" s="12">
        <f t="shared" si="12"/>
        <v>8.3555555555555605E-2</v>
      </c>
      <c r="Z137">
        <v>121.5</v>
      </c>
      <c r="AA137">
        <v>119.4</v>
      </c>
      <c r="AB137" s="12">
        <f t="shared" si="13"/>
        <v>6.7978533094812249E-2</v>
      </c>
      <c r="AC137">
        <v>113.3</v>
      </c>
      <c r="AD137">
        <v>116.7</v>
      </c>
      <c r="AE137">
        <v>120.5</v>
      </c>
      <c r="AF137">
        <v>112.3</v>
      </c>
      <c r="AG137">
        <v>116.9</v>
      </c>
      <c r="AH137">
        <v>122.4</v>
      </c>
      <c r="AI137" s="11">
        <f t="shared" si="14"/>
        <v>5.6994818652849819E-2</v>
      </c>
    </row>
    <row r="138" spans="1:35" x14ac:dyDescent="0.25">
      <c r="A138" t="s">
        <v>32</v>
      </c>
      <c r="B138">
        <v>2015</v>
      </c>
      <c r="C138">
        <v>5</v>
      </c>
      <c r="D138" s="13">
        <f t="shared" si="10"/>
        <v>42125</v>
      </c>
      <c r="E138">
        <v>123.8</v>
      </c>
      <c r="F138">
        <v>129.69999999999999</v>
      </c>
      <c r="G138">
        <v>111.3</v>
      </c>
      <c r="H138">
        <v>126.6</v>
      </c>
      <c r="I138">
        <v>105.2</v>
      </c>
      <c r="J138">
        <v>130.80000000000001</v>
      </c>
      <c r="K138">
        <v>135.6</v>
      </c>
      <c r="L138">
        <v>142.6</v>
      </c>
      <c r="M138">
        <v>90.8</v>
      </c>
      <c r="N138">
        <v>128.80000000000001</v>
      </c>
      <c r="O138">
        <v>117.7</v>
      </c>
      <c r="P138">
        <v>129.9</v>
      </c>
      <c r="Q138">
        <v>126.1</v>
      </c>
      <c r="R138" s="12">
        <f t="shared" si="11"/>
        <v>1.3665594855305375E-2</v>
      </c>
      <c r="S138">
        <v>131.30000000000001</v>
      </c>
      <c r="T138">
        <v>122.4</v>
      </c>
      <c r="U138">
        <v>117.4</v>
      </c>
      <c r="V138">
        <v>121.6</v>
      </c>
      <c r="W138">
        <v>119.6</v>
      </c>
      <c r="X138">
        <v>114.9</v>
      </c>
      <c r="Y138" s="12">
        <f t="shared" si="12"/>
        <v>-5.7424118129614433E-2</v>
      </c>
      <c r="Z138">
        <v>118.7</v>
      </c>
      <c r="AA138">
        <v>114.9</v>
      </c>
      <c r="AB138" s="12">
        <f t="shared" si="13"/>
        <v>-3.7688442211055273E-2</v>
      </c>
      <c r="AC138">
        <v>110.8</v>
      </c>
      <c r="AD138">
        <v>116</v>
      </c>
      <c r="AE138">
        <v>122</v>
      </c>
      <c r="AF138">
        <v>112.4</v>
      </c>
      <c r="AG138">
        <v>115.2</v>
      </c>
      <c r="AH138">
        <v>120.7</v>
      </c>
      <c r="AI138" s="11">
        <f t="shared" si="14"/>
        <v>-1.3888888888888911E-2</v>
      </c>
    </row>
    <row r="139" spans="1:35" x14ac:dyDescent="0.25">
      <c r="A139" t="s">
        <v>33</v>
      </c>
      <c r="B139">
        <v>2015</v>
      </c>
      <c r="C139">
        <v>5</v>
      </c>
      <c r="D139" s="13">
        <f t="shared" si="10"/>
        <v>42125</v>
      </c>
      <c r="E139">
        <v>123.6</v>
      </c>
      <c r="F139">
        <v>128</v>
      </c>
      <c r="G139">
        <v>115</v>
      </c>
      <c r="H139">
        <v>127.3</v>
      </c>
      <c r="I139">
        <v>109.8</v>
      </c>
      <c r="J139">
        <v>132.6</v>
      </c>
      <c r="K139">
        <v>130.9</v>
      </c>
      <c r="L139">
        <v>130.5</v>
      </c>
      <c r="M139">
        <v>95.3</v>
      </c>
      <c r="N139">
        <v>123.4</v>
      </c>
      <c r="O139">
        <v>119.2</v>
      </c>
      <c r="P139">
        <v>129.80000000000001</v>
      </c>
      <c r="Q139">
        <v>125</v>
      </c>
      <c r="R139" s="12">
        <f t="shared" si="11"/>
        <v>-8.7232355273591938E-3</v>
      </c>
      <c r="S139">
        <v>127.9</v>
      </c>
      <c r="T139">
        <v>125.4</v>
      </c>
      <c r="U139">
        <v>121.3</v>
      </c>
      <c r="V139">
        <v>124.7</v>
      </c>
      <c r="W139">
        <v>119.6</v>
      </c>
      <c r="X139">
        <v>119.2</v>
      </c>
      <c r="Y139" s="12">
        <f t="shared" si="12"/>
        <v>3.7423846823324607E-2</v>
      </c>
      <c r="Z139">
        <v>120.2</v>
      </c>
      <c r="AA139">
        <v>117.7</v>
      </c>
      <c r="AB139" s="12">
        <f t="shared" si="13"/>
        <v>2.4369016536118338E-2</v>
      </c>
      <c r="AC139">
        <v>112</v>
      </c>
      <c r="AD139">
        <v>116.3</v>
      </c>
      <c r="AE139">
        <v>121.4</v>
      </c>
      <c r="AF139">
        <v>112.3</v>
      </c>
      <c r="AG139">
        <v>116.1</v>
      </c>
      <c r="AH139">
        <v>121.6</v>
      </c>
      <c r="AI139" s="11">
        <f t="shared" si="14"/>
        <v>7.4565037282517937E-3</v>
      </c>
    </row>
    <row r="140" spans="1:35" x14ac:dyDescent="0.25">
      <c r="A140" t="s">
        <v>30</v>
      </c>
      <c r="B140">
        <v>2016</v>
      </c>
      <c r="C140">
        <v>5</v>
      </c>
      <c r="D140" s="13">
        <f t="shared" si="10"/>
        <v>42491</v>
      </c>
      <c r="E140">
        <v>127.6</v>
      </c>
      <c r="F140">
        <v>137.5</v>
      </c>
      <c r="G140">
        <v>124.4</v>
      </c>
      <c r="H140">
        <v>132.4</v>
      </c>
      <c r="I140">
        <v>118.2</v>
      </c>
      <c r="J140">
        <v>138.1</v>
      </c>
      <c r="K140">
        <v>141.80000000000001</v>
      </c>
      <c r="L140">
        <v>166</v>
      </c>
      <c r="M140">
        <v>107.5</v>
      </c>
      <c r="N140">
        <v>132.19999999999999</v>
      </c>
      <c r="O140">
        <v>126.1</v>
      </c>
      <c r="P140">
        <v>138.30000000000001</v>
      </c>
      <c r="Q140">
        <v>133.6</v>
      </c>
      <c r="R140" s="12">
        <f t="shared" si="11"/>
        <v>6.8799999999999958E-2</v>
      </c>
      <c r="S140">
        <v>136</v>
      </c>
      <c r="T140">
        <v>135.4</v>
      </c>
      <c r="U140">
        <v>131.1</v>
      </c>
      <c r="V140">
        <v>134.80000000000001</v>
      </c>
      <c r="W140" t="s">
        <v>31</v>
      </c>
      <c r="X140">
        <v>127.4</v>
      </c>
      <c r="Y140" s="12">
        <f t="shared" si="12"/>
        <v>6.8791946308724858E-2</v>
      </c>
      <c r="Z140">
        <v>128.5</v>
      </c>
      <c r="AA140">
        <v>125.8</v>
      </c>
      <c r="AB140" s="12">
        <f t="shared" si="13"/>
        <v>6.8819031435853814E-2</v>
      </c>
      <c r="AC140">
        <v>115.1</v>
      </c>
      <c r="AD140">
        <v>123.6</v>
      </c>
      <c r="AE140">
        <v>129.1</v>
      </c>
      <c r="AF140">
        <v>119.7</v>
      </c>
      <c r="AG140">
        <v>122.5</v>
      </c>
      <c r="AH140">
        <v>130.30000000000001</v>
      </c>
      <c r="AI140" s="11">
        <f t="shared" si="14"/>
        <v>7.1546052631579093E-2</v>
      </c>
    </row>
    <row r="141" spans="1:35" x14ac:dyDescent="0.25">
      <c r="A141" t="s">
        <v>32</v>
      </c>
      <c r="B141">
        <v>2016</v>
      </c>
      <c r="C141">
        <v>5</v>
      </c>
      <c r="D141" s="13">
        <f t="shared" si="10"/>
        <v>42491</v>
      </c>
      <c r="E141">
        <v>125</v>
      </c>
      <c r="F141">
        <v>142.1</v>
      </c>
      <c r="G141">
        <v>127</v>
      </c>
      <c r="H141">
        <v>130.4</v>
      </c>
      <c r="I141">
        <v>109.6</v>
      </c>
      <c r="J141">
        <v>133.5</v>
      </c>
      <c r="K141">
        <v>151.4</v>
      </c>
      <c r="L141">
        <v>182.8</v>
      </c>
      <c r="M141">
        <v>111.1</v>
      </c>
      <c r="N141">
        <v>141.5</v>
      </c>
      <c r="O141">
        <v>121.5</v>
      </c>
      <c r="P141">
        <v>136.30000000000001</v>
      </c>
      <c r="Q141">
        <v>134.6</v>
      </c>
      <c r="R141" s="12">
        <f t="shared" si="11"/>
        <v>7.4850299401197605E-3</v>
      </c>
      <c r="S141">
        <v>142.19999999999999</v>
      </c>
      <c r="T141">
        <v>127.2</v>
      </c>
      <c r="U141">
        <v>120.7</v>
      </c>
      <c r="V141">
        <v>126.2</v>
      </c>
      <c r="W141">
        <v>126</v>
      </c>
      <c r="X141">
        <v>115</v>
      </c>
      <c r="Y141" s="12">
        <f t="shared" si="12"/>
        <v>-9.7331240188383086E-2</v>
      </c>
      <c r="Z141">
        <v>123.2</v>
      </c>
      <c r="AA141">
        <v>120.3</v>
      </c>
      <c r="AB141" s="12">
        <f t="shared" si="13"/>
        <v>-4.372019077901431E-2</v>
      </c>
      <c r="AC141">
        <v>110.7</v>
      </c>
      <c r="AD141">
        <v>119.8</v>
      </c>
      <c r="AE141">
        <v>128</v>
      </c>
      <c r="AF141">
        <v>118.5</v>
      </c>
      <c r="AG141">
        <v>118.7</v>
      </c>
      <c r="AH141">
        <v>126.6</v>
      </c>
      <c r="AI141" s="11">
        <f t="shared" si="14"/>
        <v>-2.839600920951663E-2</v>
      </c>
    </row>
    <row r="142" spans="1:35" x14ac:dyDescent="0.25">
      <c r="A142" t="s">
        <v>33</v>
      </c>
      <c r="B142">
        <v>2016</v>
      </c>
      <c r="C142">
        <v>5</v>
      </c>
      <c r="D142" s="13">
        <f t="shared" si="10"/>
        <v>42491</v>
      </c>
      <c r="E142">
        <v>126.8</v>
      </c>
      <c r="F142">
        <v>139.1</v>
      </c>
      <c r="G142">
        <v>125.4</v>
      </c>
      <c r="H142">
        <v>131.69999999999999</v>
      </c>
      <c r="I142">
        <v>115</v>
      </c>
      <c r="J142">
        <v>136</v>
      </c>
      <c r="K142">
        <v>145.1</v>
      </c>
      <c r="L142">
        <v>171.7</v>
      </c>
      <c r="M142">
        <v>108.7</v>
      </c>
      <c r="N142">
        <v>135.30000000000001</v>
      </c>
      <c r="O142">
        <v>124.2</v>
      </c>
      <c r="P142">
        <v>137.4</v>
      </c>
      <c r="Q142">
        <v>134</v>
      </c>
      <c r="R142" s="12">
        <f t="shared" si="11"/>
        <v>-4.4576523031203148E-3</v>
      </c>
      <c r="S142">
        <v>137.69999999999999</v>
      </c>
      <c r="T142">
        <v>132.19999999999999</v>
      </c>
      <c r="U142">
        <v>126.8</v>
      </c>
      <c r="V142">
        <v>131.4</v>
      </c>
      <c r="W142">
        <v>126</v>
      </c>
      <c r="X142">
        <v>122.7</v>
      </c>
      <c r="Y142" s="12">
        <f t="shared" si="12"/>
        <v>6.6956521739130456E-2</v>
      </c>
      <c r="Z142">
        <v>126</v>
      </c>
      <c r="AA142">
        <v>123.7</v>
      </c>
      <c r="AB142" s="12">
        <f t="shared" si="13"/>
        <v>2.8262676641729059E-2</v>
      </c>
      <c r="AC142">
        <v>112.8</v>
      </c>
      <c r="AD142">
        <v>121.5</v>
      </c>
      <c r="AE142">
        <v>128.5</v>
      </c>
      <c r="AF142">
        <v>119.2</v>
      </c>
      <c r="AG142">
        <v>120.7</v>
      </c>
      <c r="AH142">
        <v>128.6</v>
      </c>
      <c r="AI142" s="11">
        <f t="shared" si="14"/>
        <v>1.5797788309636653E-2</v>
      </c>
    </row>
    <row r="143" spans="1:35" x14ac:dyDescent="0.25">
      <c r="A143" t="s">
        <v>30</v>
      </c>
      <c r="B143">
        <v>2017</v>
      </c>
      <c r="C143">
        <v>5</v>
      </c>
      <c r="D143" s="13">
        <f t="shared" si="10"/>
        <v>42856</v>
      </c>
      <c r="E143">
        <v>133.1</v>
      </c>
      <c r="F143">
        <v>140.30000000000001</v>
      </c>
      <c r="G143">
        <v>126.8</v>
      </c>
      <c r="H143">
        <v>138.19999999999999</v>
      </c>
      <c r="I143">
        <v>120.8</v>
      </c>
      <c r="J143">
        <v>140.19999999999999</v>
      </c>
      <c r="K143">
        <v>123.8</v>
      </c>
      <c r="L143">
        <v>141.80000000000001</v>
      </c>
      <c r="M143">
        <v>118.6</v>
      </c>
      <c r="N143">
        <v>134</v>
      </c>
      <c r="O143">
        <v>130.30000000000001</v>
      </c>
      <c r="P143">
        <v>145.80000000000001</v>
      </c>
      <c r="Q143">
        <v>133.80000000000001</v>
      </c>
      <c r="R143" s="12">
        <f t="shared" si="11"/>
        <v>-1.4925373134327511E-3</v>
      </c>
      <c r="S143">
        <v>145.5</v>
      </c>
      <c r="T143">
        <v>142.5</v>
      </c>
      <c r="U143">
        <v>137.30000000000001</v>
      </c>
      <c r="V143">
        <v>141.80000000000001</v>
      </c>
      <c r="W143" t="s">
        <v>31</v>
      </c>
      <c r="X143">
        <v>135</v>
      </c>
      <c r="Y143" s="12">
        <f t="shared" si="12"/>
        <v>0.10024449877750609</v>
      </c>
      <c r="Z143">
        <v>134.9</v>
      </c>
      <c r="AA143">
        <v>131.4</v>
      </c>
      <c r="AB143" s="12">
        <f t="shared" si="13"/>
        <v>6.2247372675828638E-2</v>
      </c>
      <c r="AC143">
        <v>119.4</v>
      </c>
      <c r="AD143">
        <v>129.4</v>
      </c>
      <c r="AE143">
        <v>136.30000000000001</v>
      </c>
      <c r="AF143">
        <v>123.7</v>
      </c>
      <c r="AG143">
        <v>127.9</v>
      </c>
      <c r="AH143">
        <v>133.30000000000001</v>
      </c>
      <c r="AI143" s="11">
        <f t="shared" si="14"/>
        <v>3.654743390357712E-2</v>
      </c>
    </row>
    <row r="144" spans="1:35" x14ac:dyDescent="0.25">
      <c r="A144" t="s">
        <v>32</v>
      </c>
      <c r="B144">
        <v>2017</v>
      </c>
      <c r="C144">
        <v>5</v>
      </c>
      <c r="D144" s="13">
        <f t="shared" si="10"/>
        <v>42856</v>
      </c>
      <c r="E144">
        <v>132.6</v>
      </c>
      <c r="F144">
        <v>144.1</v>
      </c>
      <c r="G144">
        <v>125.6</v>
      </c>
      <c r="H144">
        <v>136.80000000000001</v>
      </c>
      <c r="I144">
        <v>113.4</v>
      </c>
      <c r="J144">
        <v>135.19999999999999</v>
      </c>
      <c r="K144">
        <v>129.19999999999999</v>
      </c>
      <c r="L144">
        <v>131.5</v>
      </c>
      <c r="M144">
        <v>121</v>
      </c>
      <c r="N144">
        <v>139.9</v>
      </c>
      <c r="O144">
        <v>123.8</v>
      </c>
      <c r="P144">
        <v>142.9</v>
      </c>
      <c r="Q144">
        <v>133.6</v>
      </c>
      <c r="R144" s="12">
        <f t="shared" si="11"/>
        <v>-1.494768310911936E-3</v>
      </c>
      <c r="S144">
        <v>148.30000000000001</v>
      </c>
      <c r="T144">
        <v>131.5</v>
      </c>
      <c r="U144">
        <v>123.2</v>
      </c>
      <c r="V144">
        <v>130.19999999999999</v>
      </c>
      <c r="W144">
        <v>132.1</v>
      </c>
      <c r="X144">
        <v>120.1</v>
      </c>
      <c r="Y144" s="12">
        <f t="shared" si="12"/>
        <v>-0.11037037037037041</v>
      </c>
      <c r="Z144">
        <v>126.5</v>
      </c>
      <c r="AA144">
        <v>123.6</v>
      </c>
      <c r="AB144" s="12">
        <f t="shared" si="13"/>
        <v>-5.9360730593607393E-2</v>
      </c>
      <c r="AC144">
        <v>114.3</v>
      </c>
      <c r="AD144">
        <v>122.8</v>
      </c>
      <c r="AE144">
        <v>133.80000000000001</v>
      </c>
      <c r="AF144">
        <v>122</v>
      </c>
      <c r="AG144">
        <v>122.6</v>
      </c>
      <c r="AH144">
        <v>129.30000000000001</v>
      </c>
      <c r="AI144" s="11">
        <f t="shared" si="14"/>
        <v>-3.0007501875468863E-2</v>
      </c>
    </row>
    <row r="145" spans="1:35" x14ac:dyDescent="0.25">
      <c r="A145" t="s">
        <v>33</v>
      </c>
      <c r="B145">
        <v>2017</v>
      </c>
      <c r="C145">
        <v>5</v>
      </c>
      <c r="D145" s="13">
        <f t="shared" si="10"/>
        <v>42856</v>
      </c>
      <c r="E145">
        <v>132.9</v>
      </c>
      <c r="F145">
        <v>141.6</v>
      </c>
      <c r="G145">
        <v>126.3</v>
      </c>
      <c r="H145">
        <v>137.69999999999999</v>
      </c>
      <c r="I145">
        <v>118.1</v>
      </c>
      <c r="J145">
        <v>137.9</v>
      </c>
      <c r="K145">
        <v>125.6</v>
      </c>
      <c r="L145">
        <v>138.30000000000001</v>
      </c>
      <c r="M145">
        <v>119.4</v>
      </c>
      <c r="N145">
        <v>136</v>
      </c>
      <c r="O145">
        <v>127.6</v>
      </c>
      <c r="P145">
        <v>144.5</v>
      </c>
      <c r="Q145">
        <v>133.69999999999999</v>
      </c>
      <c r="R145" s="12">
        <f t="shared" si="11"/>
        <v>7.4850299401193348E-4</v>
      </c>
      <c r="S145">
        <v>146.19999999999999</v>
      </c>
      <c r="T145">
        <v>138.19999999999999</v>
      </c>
      <c r="U145">
        <v>131.4</v>
      </c>
      <c r="V145">
        <v>137.19999999999999</v>
      </c>
      <c r="W145">
        <v>132.1</v>
      </c>
      <c r="X145">
        <v>129.4</v>
      </c>
      <c r="Y145" s="12">
        <f t="shared" si="12"/>
        <v>7.7435470441299017E-2</v>
      </c>
      <c r="Z145">
        <v>130.9</v>
      </c>
      <c r="AA145">
        <v>128.4</v>
      </c>
      <c r="AB145" s="12">
        <f t="shared" si="13"/>
        <v>3.8834951456310773E-2</v>
      </c>
      <c r="AC145">
        <v>116.7</v>
      </c>
      <c r="AD145">
        <v>125.7</v>
      </c>
      <c r="AE145">
        <v>134.80000000000001</v>
      </c>
      <c r="AF145">
        <v>123</v>
      </c>
      <c r="AG145">
        <v>125.3</v>
      </c>
      <c r="AH145">
        <v>131.4</v>
      </c>
      <c r="AI145" s="11">
        <f t="shared" si="14"/>
        <v>1.624129930394427E-2</v>
      </c>
    </row>
    <row r="146" spans="1:35" x14ac:dyDescent="0.25">
      <c r="A146" t="s">
        <v>30</v>
      </c>
      <c r="B146">
        <v>2018</v>
      </c>
      <c r="C146">
        <v>5</v>
      </c>
      <c r="D146" s="13">
        <f t="shared" si="10"/>
        <v>43221</v>
      </c>
      <c r="E146">
        <v>137.4</v>
      </c>
      <c r="F146">
        <v>145.69999999999999</v>
      </c>
      <c r="G146">
        <v>135.5</v>
      </c>
      <c r="H146">
        <v>142.9</v>
      </c>
      <c r="I146">
        <v>123.6</v>
      </c>
      <c r="J146">
        <v>157.5</v>
      </c>
      <c r="K146">
        <v>137.80000000000001</v>
      </c>
      <c r="L146">
        <v>127.2</v>
      </c>
      <c r="M146">
        <v>111.8</v>
      </c>
      <c r="N146">
        <v>137.4</v>
      </c>
      <c r="O146">
        <v>132.19999999999999</v>
      </c>
      <c r="P146">
        <v>154.30000000000001</v>
      </c>
      <c r="Q146">
        <v>139.1</v>
      </c>
      <c r="R146" s="12">
        <f t="shared" si="11"/>
        <v>4.0388930441286511E-2</v>
      </c>
      <c r="S146">
        <v>157</v>
      </c>
      <c r="T146">
        <v>150.80000000000001</v>
      </c>
      <c r="U146">
        <v>144.1</v>
      </c>
      <c r="V146">
        <v>149.80000000000001</v>
      </c>
      <c r="W146" t="s">
        <v>31</v>
      </c>
      <c r="X146">
        <v>144.30000000000001</v>
      </c>
      <c r="Y146" s="12">
        <f t="shared" si="12"/>
        <v>0.11514683153013915</v>
      </c>
      <c r="Z146">
        <v>141.80000000000001</v>
      </c>
      <c r="AA146">
        <v>138.4</v>
      </c>
      <c r="AB146" s="12">
        <f t="shared" si="13"/>
        <v>7.7881619937694699E-2</v>
      </c>
      <c r="AC146">
        <v>126.4</v>
      </c>
      <c r="AD146">
        <v>136.80000000000001</v>
      </c>
      <c r="AE146">
        <v>144.4</v>
      </c>
      <c r="AF146">
        <v>131.19999999999999</v>
      </c>
      <c r="AG146">
        <v>135.1</v>
      </c>
      <c r="AH146">
        <v>139.80000000000001</v>
      </c>
      <c r="AI146" s="11">
        <f t="shared" si="14"/>
        <v>6.3926940639269444E-2</v>
      </c>
    </row>
    <row r="147" spans="1:35" x14ac:dyDescent="0.25">
      <c r="A147" t="s">
        <v>32</v>
      </c>
      <c r="B147">
        <v>2018</v>
      </c>
      <c r="C147">
        <v>5</v>
      </c>
      <c r="D147" s="13">
        <f t="shared" si="10"/>
        <v>43221</v>
      </c>
      <c r="E147">
        <v>135</v>
      </c>
      <c r="F147">
        <v>148.19999999999999</v>
      </c>
      <c r="G147">
        <v>130.5</v>
      </c>
      <c r="H147">
        <v>140.69999999999999</v>
      </c>
      <c r="I147">
        <v>116.4</v>
      </c>
      <c r="J147">
        <v>151.30000000000001</v>
      </c>
      <c r="K147">
        <v>131.4</v>
      </c>
      <c r="L147">
        <v>112.8</v>
      </c>
      <c r="M147">
        <v>105.3</v>
      </c>
      <c r="N147">
        <v>139.6</v>
      </c>
      <c r="O147">
        <v>126.6</v>
      </c>
      <c r="P147">
        <v>148.69999999999999</v>
      </c>
      <c r="Q147">
        <v>136.4</v>
      </c>
      <c r="R147" s="12">
        <f t="shared" si="11"/>
        <v>-1.9410496046009983E-2</v>
      </c>
      <c r="S147">
        <v>160.30000000000001</v>
      </c>
      <c r="T147">
        <v>138.6</v>
      </c>
      <c r="U147">
        <v>127.9</v>
      </c>
      <c r="V147">
        <v>137</v>
      </c>
      <c r="W147">
        <v>143.19999999999999</v>
      </c>
      <c r="X147">
        <v>124.7</v>
      </c>
      <c r="Y147" s="12">
        <f t="shared" si="12"/>
        <v>-0.13582813582813588</v>
      </c>
      <c r="Z147">
        <v>132.5</v>
      </c>
      <c r="AA147">
        <v>132</v>
      </c>
      <c r="AB147" s="12">
        <f t="shared" si="13"/>
        <v>-4.6242774566474028E-2</v>
      </c>
      <c r="AC147">
        <v>119.8</v>
      </c>
      <c r="AD147">
        <v>128</v>
      </c>
      <c r="AE147">
        <v>140.4</v>
      </c>
      <c r="AF147">
        <v>128.1</v>
      </c>
      <c r="AG147">
        <v>128.9</v>
      </c>
      <c r="AH147">
        <v>135.4</v>
      </c>
      <c r="AI147" s="11">
        <f t="shared" si="14"/>
        <v>-3.1473533619456408E-2</v>
      </c>
    </row>
    <row r="148" spans="1:35" x14ac:dyDescent="0.25">
      <c r="A148" t="s">
        <v>33</v>
      </c>
      <c r="B148">
        <v>2018</v>
      </c>
      <c r="C148">
        <v>5</v>
      </c>
      <c r="D148" s="13">
        <f t="shared" si="10"/>
        <v>43221</v>
      </c>
      <c r="E148">
        <v>136.6</v>
      </c>
      <c r="F148">
        <v>146.6</v>
      </c>
      <c r="G148">
        <v>133.6</v>
      </c>
      <c r="H148">
        <v>142.1</v>
      </c>
      <c r="I148">
        <v>121</v>
      </c>
      <c r="J148">
        <v>154.6</v>
      </c>
      <c r="K148">
        <v>135.6</v>
      </c>
      <c r="L148">
        <v>122.3</v>
      </c>
      <c r="M148">
        <v>109.6</v>
      </c>
      <c r="N148">
        <v>138.1</v>
      </c>
      <c r="O148">
        <v>129.9</v>
      </c>
      <c r="P148">
        <v>151.69999999999999</v>
      </c>
      <c r="Q148">
        <v>138.1</v>
      </c>
      <c r="R148" s="12">
        <f t="shared" si="11"/>
        <v>1.2463343108504315E-2</v>
      </c>
      <c r="S148">
        <v>157.9</v>
      </c>
      <c r="T148">
        <v>146</v>
      </c>
      <c r="U148">
        <v>137.4</v>
      </c>
      <c r="V148">
        <v>144.69999999999999</v>
      </c>
      <c r="W148">
        <v>143.19999999999999</v>
      </c>
      <c r="X148">
        <v>136.9</v>
      </c>
      <c r="Y148" s="12">
        <f t="shared" si="12"/>
        <v>9.783480352846835E-2</v>
      </c>
      <c r="Z148">
        <v>137.4</v>
      </c>
      <c r="AA148">
        <v>136</v>
      </c>
      <c r="AB148" s="12">
        <f t="shared" si="13"/>
        <v>3.0303030303030304E-2</v>
      </c>
      <c r="AC148">
        <v>122.9</v>
      </c>
      <c r="AD148">
        <v>131.80000000000001</v>
      </c>
      <c r="AE148">
        <v>142.1</v>
      </c>
      <c r="AF148">
        <v>129.9</v>
      </c>
      <c r="AG148">
        <v>132.1</v>
      </c>
      <c r="AH148">
        <v>137.80000000000001</v>
      </c>
      <c r="AI148" s="11">
        <f t="shared" si="14"/>
        <v>1.7725258493353071E-2</v>
      </c>
    </row>
    <row r="149" spans="1:35" x14ac:dyDescent="0.25">
      <c r="A149" t="s">
        <v>30</v>
      </c>
      <c r="B149">
        <v>2019</v>
      </c>
      <c r="C149">
        <v>5</v>
      </c>
      <c r="D149" s="13">
        <f t="shared" si="10"/>
        <v>43586</v>
      </c>
      <c r="E149">
        <v>137.4</v>
      </c>
      <c r="F149">
        <v>159.5</v>
      </c>
      <c r="G149">
        <v>134.5</v>
      </c>
      <c r="H149">
        <v>142.6</v>
      </c>
      <c r="I149">
        <v>124</v>
      </c>
      <c r="J149">
        <v>143.69999999999999</v>
      </c>
      <c r="K149">
        <v>133.4</v>
      </c>
      <c r="L149">
        <v>125.1</v>
      </c>
      <c r="M149">
        <v>109.3</v>
      </c>
      <c r="N149">
        <v>139.30000000000001</v>
      </c>
      <c r="O149">
        <v>137.69999999999999</v>
      </c>
      <c r="P149">
        <v>156.4</v>
      </c>
      <c r="Q149">
        <v>139.19999999999999</v>
      </c>
      <c r="R149" s="12">
        <f t="shared" si="11"/>
        <v>7.9652425778421031E-3</v>
      </c>
      <c r="S149">
        <v>163.30000000000001</v>
      </c>
      <c r="T149">
        <v>151.30000000000001</v>
      </c>
      <c r="U149">
        <v>146.6</v>
      </c>
      <c r="V149">
        <v>150.69999999999999</v>
      </c>
      <c r="W149" t="s">
        <v>31</v>
      </c>
      <c r="X149">
        <v>146.9</v>
      </c>
      <c r="Y149" s="12">
        <f t="shared" si="12"/>
        <v>7.3046018991964931E-2</v>
      </c>
      <c r="Z149">
        <v>149.5</v>
      </c>
      <c r="AA149">
        <v>151.30000000000001</v>
      </c>
      <c r="AB149" s="12">
        <f t="shared" si="13"/>
        <v>0.11250000000000009</v>
      </c>
      <c r="AC149">
        <v>130.19999999999999</v>
      </c>
      <c r="AD149">
        <v>145.9</v>
      </c>
      <c r="AE149">
        <v>156.69999999999999</v>
      </c>
      <c r="AF149">
        <v>133.9</v>
      </c>
      <c r="AG149">
        <v>142.9</v>
      </c>
      <c r="AH149">
        <v>142.4</v>
      </c>
      <c r="AI149" s="11">
        <f t="shared" si="14"/>
        <v>3.3381712626995602E-2</v>
      </c>
    </row>
    <row r="150" spans="1:35" x14ac:dyDescent="0.25">
      <c r="A150" t="s">
        <v>32</v>
      </c>
      <c r="B150">
        <v>2019</v>
      </c>
      <c r="C150">
        <v>5</v>
      </c>
      <c r="D150" s="13">
        <f t="shared" si="10"/>
        <v>43586</v>
      </c>
      <c r="E150">
        <v>140.4</v>
      </c>
      <c r="F150">
        <v>156.69999999999999</v>
      </c>
      <c r="G150">
        <v>138.30000000000001</v>
      </c>
      <c r="H150">
        <v>142.4</v>
      </c>
      <c r="I150">
        <v>118.6</v>
      </c>
      <c r="J150">
        <v>149.69999999999999</v>
      </c>
      <c r="K150">
        <v>161.6</v>
      </c>
      <c r="L150">
        <v>124.4</v>
      </c>
      <c r="M150">
        <v>111.2</v>
      </c>
      <c r="N150">
        <v>141</v>
      </c>
      <c r="O150">
        <v>128.9</v>
      </c>
      <c r="P150">
        <v>154.5</v>
      </c>
      <c r="Q150">
        <v>143.80000000000001</v>
      </c>
      <c r="R150" s="12">
        <f t="shared" si="11"/>
        <v>3.3045977011494421E-2</v>
      </c>
      <c r="S150">
        <v>166.2</v>
      </c>
      <c r="T150">
        <v>144</v>
      </c>
      <c r="U150">
        <v>131.69999999999999</v>
      </c>
      <c r="V150">
        <v>142.19999999999999</v>
      </c>
      <c r="W150">
        <v>150.1</v>
      </c>
      <c r="X150">
        <v>129.4</v>
      </c>
      <c r="Y150" s="12">
        <f t="shared" si="12"/>
        <v>-0.1191286589516678</v>
      </c>
      <c r="Z150">
        <v>137.19999999999999</v>
      </c>
      <c r="AA150">
        <v>139.80000000000001</v>
      </c>
      <c r="AB150" s="12">
        <f t="shared" si="13"/>
        <v>-7.6007931262392595E-2</v>
      </c>
      <c r="AC150">
        <v>120.1</v>
      </c>
      <c r="AD150">
        <v>134</v>
      </c>
      <c r="AE150">
        <v>148</v>
      </c>
      <c r="AF150">
        <v>132.6</v>
      </c>
      <c r="AG150">
        <v>133.30000000000001</v>
      </c>
      <c r="AH150">
        <v>141.5</v>
      </c>
      <c r="AI150" s="11">
        <f t="shared" si="14"/>
        <v>-6.3202247191011633E-3</v>
      </c>
    </row>
    <row r="151" spans="1:35" x14ac:dyDescent="0.25">
      <c r="A151" t="s">
        <v>33</v>
      </c>
      <c r="B151">
        <v>2019</v>
      </c>
      <c r="C151">
        <v>5</v>
      </c>
      <c r="D151" s="13">
        <f t="shared" si="10"/>
        <v>43586</v>
      </c>
      <c r="E151">
        <v>138.30000000000001</v>
      </c>
      <c r="F151">
        <v>158.5</v>
      </c>
      <c r="G151">
        <v>136</v>
      </c>
      <c r="H151">
        <v>142.5</v>
      </c>
      <c r="I151">
        <v>122</v>
      </c>
      <c r="J151">
        <v>146.5</v>
      </c>
      <c r="K151">
        <v>143</v>
      </c>
      <c r="L151">
        <v>124.9</v>
      </c>
      <c r="M151">
        <v>109.9</v>
      </c>
      <c r="N151">
        <v>139.9</v>
      </c>
      <c r="O151">
        <v>134</v>
      </c>
      <c r="P151">
        <v>155.5</v>
      </c>
      <c r="Q151">
        <v>140.9</v>
      </c>
      <c r="R151" s="12">
        <f t="shared" si="11"/>
        <v>-2.0166898470097394E-2</v>
      </c>
      <c r="S151">
        <v>164.1</v>
      </c>
      <c r="T151">
        <v>148.4</v>
      </c>
      <c r="U151">
        <v>140.4</v>
      </c>
      <c r="V151">
        <v>147.30000000000001</v>
      </c>
      <c r="W151">
        <v>150.1</v>
      </c>
      <c r="X151">
        <v>140.30000000000001</v>
      </c>
      <c r="Y151" s="12">
        <f t="shared" si="12"/>
        <v>8.4234930448222611E-2</v>
      </c>
      <c r="Z151">
        <v>143.69999999999999</v>
      </c>
      <c r="AA151">
        <v>146.9</v>
      </c>
      <c r="AB151" s="12">
        <f t="shared" si="13"/>
        <v>5.0786838340486362E-2</v>
      </c>
      <c r="AC151">
        <v>124.9</v>
      </c>
      <c r="AD151">
        <v>139.19999999999999</v>
      </c>
      <c r="AE151">
        <v>151.6</v>
      </c>
      <c r="AF151">
        <v>133.4</v>
      </c>
      <c r="AG151">
        <v>138.19999999999999</v>
      </c>
      <c r="AH151">
        <v>142</v>
      </c>
      <c r="AI151" s="11">
        <f t="shared" si="14"/>
        <v>3.5335689045936395E-3</v>
      </c>
    </row>
    <row r="152" spans="1:35" x14ac:dyDescent="0.25">
      <c r="A152" t="s">
        <v>30</v>
      </c>
      <c r="B152">
        <v>2020</v>
      </c>
      <c r="C152">
        <v>5</v>
      </c>
      <c r="D152" s="13">
        <f t="shared" si="10"/>
        <v>43952</v>
      </c>
      <c r="E152">
        <v>144.9</v>
      </c>
      <c r="F152">
        <v>167.2</v>
      </c>
      <c r="G152">
        <v>149.69999999999999</v>
      </c>
      <c r="H152">
        <v>152.19999999999999</v>
      </c>
      <c r="I152">
        <v>134</v>
      </c>
      <c r="J152">
        <v>143</v>
      </c>
      <c r="K152">
        <v>167.9</v>
      </c>
      <c r="L152">
        <v>143.69999999999999</v>
      </c>
      <c r="M152">
        <v>114.8</v>
      </c>
      <c r="N152">
        <v>154.30000000000001</v>
      </c>
      <c r="O152">
        <v>139.80000000000001</v>
      </c>
      <c r="P152">
        <v>159.30000000000001</v>
      </c>
      <c r="Q152">
        <v>150.30000000000001</v>
      </c>
      <c r="R152" s="12">
        <f t="shared" si="11"/>
        <v>6.6713981547196627E-2</v>
      </c>
      <c r="S152">
        <v>169.5</v>
      </c>
      <c r="T152">
        <v>153.1</v>
      </c>
      <c r="U152">
        <v>147.5</v>
      </c>
      <c r="V152">
        <v>152.30000000000001</v>
      </c>
      <c r="W152" t="s">
        <v>31</v>
      </c>
      <c r="X152">
        <v>151.1</v>
      </c>
      <c r="Y152" s="12">
        <f t="shared" si="12"/>
        <v>7.6977904490377641E-2</v>
      </c>
      <c r="Z152">
        <v>151.69999999999999</v>
      </c>
      <c r="AA152">
        <v>155.69999999999999</v>
      </c>
      <c r="AB152" s="12">
        <f t="shared" si="13"/>
        <v>5.9904697072838548E-2</v>
      </c>
      <c r="AC152">
        <v>136</v>
      </c>
      <c r="AD152">
        <v>150.6</v>
      </c>
      <c r="AE152">
        <v>161.6</v>
      </c>
      <c r="AF152">
        <v>143.69999999999999</v>
      </c>
      <c r="AG152">
        <v>148.4</v>
      </c>
      <c r="AH152">
        <v>150.69999999999999</v>
      </c>
      <c r="AI152" s="11">
        <f t="shared" si="14"/>
        <v>6.1267605633802735E-2</v>
      </c>
    </row>
    <row r="153" spans="1:35" x14ac:dyDescent="0.25">
      <c r="A153" t="s">
        <v>32</v>
      </c>
      <c r="B153">
        <v>2020</v>
      </c>
      <c r="C153">
        <v>5</v>
      </c>
      <c r="D153" s="13">
        <f t="shared" si="10"/>
        <v>43952</v>
      </c>
      <c r="E153">
        <v>147.5</v>
      </c>
      <c r="F153">
        <v>167.6</v>
      </c>
      <c r="G153">
        <v>152.69999999999999</v>
      </c>
      <c r="H153">
        <v>151.69999999999999</v>
      </c>
      <c r="I153">
        <v>128.19999999999999</v>
      </c>
      <c r="J153">
        <v>145.9</v>
      </c>
      <c r="K153">
        <v>184.1</v>
      </c>
      <c r="L153">
        <v>142.30000000000001</v>
      </c>
      <c r="M153">
        <v>116.3</v>
      </c>
      <c r="N153">
        <v>151.4</v>
      </c>
      <c r="O153">
        <v>132</v>
      </c>
      <c r="P153">
        <v>158.9</v>
      </c>
      <c r="Q153">
        <v>152.4</v>
      </c>
      <c r="R153" s="12">
        <f t="shared" si="11"/>
        <v>1.3972055888223514E-2</v>
      </c>
      <c r="S153">
        <v>172</v>
      </c>
      <c r="T153">
        <v>147.30000000000001</v>
      </c>
      <c r="U153">
        <v>133.5</v>
      </c>
      <c r="V153">
        <v>145.19999999999999</v>
      </c>
      <c r="W153">
        <v>154.69999999999999</v>
      </c>
      <c r="X153">
        <v>138.1</v>
      </c>
      <c r="Y153" s="12">
        <f t="shared" si="12"/>
        <v>-8.6035737921906025E-2</v>
      </c>
      <c r="Z153">
        <v>140.4</v>
      </c>
      <c r="AA153">
        <v>144.5</v>
      </c>
      <c r="AB153" s="12">
        <f t="shared" si="13"/>
        <v>-7.1933204881181698E-2</v>
      </c>
      <c r="AC153">
        <v>125.3</v>
      </c>
      <c r="AD153">
        <v>137.6</v>
      </c>
      <c r="AE153">
        <v>152.30000000000001</v>
      </c>
      <c r="AF153">
        <v>143.6</v>
      </c>
      <c r="AG153">
        <v>138.5</v>
      </c>
      <c r="AH153">
        <v>147.69999999999999</v>
      </c>
      <c r="AI153" s="11">
        <f t="shared" si="14"/>
        <v>-1.9907100199071003E-2</v>
      </c>
    </row>
    <row r="154" spans="1:35" x14ac:dyDescent="0.25">
      <c r="A154" t="s">
        <v>33</v>
      </c>
      <c r="B154">
        <v>2020</v>
      </c>
      <c r="C154">
        <v>5</v>
      </c>
      <c r="D154" s="13">
        <f t="shared" si="10"/>
        <v>43952</v>
      </c>
      <c r="E154">
        <v>145.69999999999999</v>
      </c>
      <c r="F154">
        <v>167.3</v>
      </c>
      <c r="G154">
        <v>150.9</v>
      </c>
      <c r="H154">
        <v>152</v>
      </c>
      <c r="I154">
        <v>131.9</v>
      </c>
      <c r="J154">
        <v>144.4</v>
      </c>
      <c r="K154">
        <v>173.4</v>
      </c>
      <c r="L154">
        <v>143.30000000000001</v>
      </c>
      <c r="M154">
        <v>115.3</v>
      </c>
      <c r="N154">
        <v>153.30000000000001</v>
      </c>
      <c r="O154">
        <v>136.5</v>
      </c>
      <c r="P154">
        <v>159.1</v>
      </c>
      <c r="Q154">
        <v>151.1</v>
      </c>
      <c r="R154" s="12">
        <f t="shared" si="11"/>
        <v>-8.5301837270341952E-3</v>
      </c>
      <c r="S154">
        <v>170.2</v>
      </c>
      <c r="T154">
        <v>150.80000000000001</v>
      </c>
      <c r="U154">
        <v>141.69999999999999</v>
      </c>
      <c r="V154">
        <v>149.5</v>
      </c>
      <c r="W154">
        <v>154.69999999999999</v>
      </c>
      <c r="X154">
        <v>146.19999999999999</v>
      </c>
      <c r="Y154" s="12">
        <f t="shared" si="12"/>
        <v>5.8653149891383018E-2</v>
      </c>
      <c r="Z154">
        <v>146.30000000000001</v>
      </c>
      <c r="AA154">
        <v>151.5</v>
      </c>
      <c r="AB154" s="12">
        <f t="shared" si="13"/>
        <v>4.8442906574394463E-2</v>
      </c>
      <c r="AC154">
        <v>130.4</v>
      </c>
      <c r="AD154">
        <v>143.19999999999999</v>
      </c>
      <c r="AE154">
        <v>156.1</v>
      </c>
      <c r="AF154">
        <v>143.6</v>
      </c>
      <c r="AG154">
        <v>143.6</v>
      </c>
      <c r="AH154">
        <v>149.30000000000001</v>
      </c>
      <c r="AI154" s="11">
        <f t="shared" si="14"/>
        <v>1.0832769126608143E-2</v>
      </c>
    </row>
    <row r="155" spans="1:35" x14ac:dyDescent="0.25">
      <c r="A155" t="s">
        <v>30</v>
      </c>
      <c r="B155">
        <v>2021</v>
      </c>
      <c r="C155">
        <v>5</v>
      </c>
      <c r="D155" s="13">
        <f t="shared" si="10"/>
        <v>44317</v>
      </c>
      <c r="E155">
        <v>145.1</v>
      </c>
      <c r="F155">
        <v>198.5</v>
      </c>
      <c r="G155">
        <v>168.6</v>
      </c>
      <c r="H155">
        <v>155.80000000000001</v>
      </c>
      <c r="I155">
        <v>184.4</v>
      </c>
      <c r="J155">
        <v>162.30000000000001</v>
      </c>
      <c r="K155">
        <v>138.4</v>
      </c>
      <c r="L155">
        <v>165.1</v>
      </c>
      <c r="M155">
        <v>114.3</v>
      </c>
      <c r="N155">
        <v>169.7</v>
      </c>
      <c r="O155">
        <v>164.6</v>
      </c>
      <c r="P155">
        <v>169.8</v>
      </c>
      <c r="Q155">
        <v>158.69999999999999</v>
      </c>
      <c r="R155" s="12">
        <f t="shared" si="11"/>
        <v>5.0297816015883484E-2</v>
      </c>
      <c r="S155">
        <v>189.6</v>
      </c>
      <c r="T155">
        <v>165.3</v>
      </c>
      <c r="U155">
        <v>160.6</v>
      </c>
      <c r="V155">
        <v>164.5</v>
      </c>
      <c r="W155" t="s">
        <v>31</v>
      </c>
      <c r="X155">
        <v>161.69999999999999</v>
      </c>
      <c r="Y155" s="12">
        <f t="shared" si="12"/>
        <v>0.10601915184678523</v>
      </c>
      <c r="Z155">
        <v>158.80000000000001</v>
      </c>
      <c r="AA155">
        <v>169.1</v>
      </c>
      <c r="AB155" s="12">
        <f t="shared" si="13"/>
        <v>0.11617161716171613</v>
      </c>
      <c r="AC155">
        <v>153.19999999999999</v>
      </c>
      <c r="AD155">
        <v>160</v>
      </c>
      <c r="AE155">
        <v>167.6</v>
      </c>
      <c r="AF155">
        <v>159.30000000000001</v>
      </c>
      <c r="AG155">
        <v>161.1</v>
      </c>
      <c r="AH155">
        <v>161.1</v>
      </c>
      <c r="AI155" s="11">
        <f t="shared" si="14"/>
        <v>7.9035498995311329E-2</v>
      </c>
    </row>
    <row r="156" spans="1:35" x14ac:dyDescent="0.25">
      <c r="A156" t="s">
        <v>32</v>
      </c>
      <c r="B156">
        <v>2021</v>
      </c>
      <c r="C156">
        <v>5</v>
      </c>
      <c r="D156" s="13">
        <f t="shared" si="10"/>
        <v>44317</v>
      </c>
      <c r="E156">
        <v>148.80000000000001</v>
      </c>
      <c r="F156">
        <v>204.3</v>
      </c>
      <c r="G156">
        <v>173</v>
      </c>
      <c r="H156">
        <v>156.5</v>
      </c>
      <c r="I156">
        <v>168.8</v>
      </c>
      <c r="J156">
        <v>172.5</v>
      </c>
      <c r="K156">
        <v>166.5</v>
      </c>
      <c r="L156">
        <v>165.9</v>
      </c>
      <c r="M156">
        <v>115.9</v>
      </c>
      <c r="N156">
        <v>165.2</v>
      </c>
      <c r="O156">
        <v>152</v>
      </c>
      <c r="P156">
        <v>171.1</v>
      </c>
      <c r="Q156">
        <v>164.2</v>
      </c>
      <c r="R156" s="12">
        <f t="shared" si="11"/>
        <v>3.4656584751102712E-2</v>
      </c>
      <c r="S156">
        <v>198.2</v>
      </c>
      <c r="T156">
        <v>156.5</v>
      </c>
      <c r="U156">
        <v>140.19999999999999</v>
      </c>
      <c r="V156">
        <v>154.1</v>
      </c>
      <c r="W156">
        <v>161.6</v>
      </c>
      <c r="X156">
        <v>155.5</v>
      </c>
      <c r="Y156" s="12">
        <f t="shared" si="12"/>
        <v>-3.8342609771181133E-2</v>
      </c>
      <c r="Z156">
        <v>150.1</v>
      </c>
      <c r="AA156">
        <v>160.4</v>
      </c>
      <c r="AB156" s="12">
        <f t="shared" si="13"/>
        <v>-5.1448846836191539E-2</v>
      </c>
      <c r="AC156">
        <v>145</v>
      </c>
      <c r="AD156">
        <v>152.6</v>
      </c>
      <c r="AE156">
        <v>156.6</v>
      </c>
      <c r="AF156">
        <v>157.5</v>
      </c>
      <c r="AG156">
        <v>152.30000000000001</v>
      </c>
      <c r="AH156">
        <v>159.5</v>
      </c>
      <c r="AI156" s="11">
        <f t="shared" si="14"/>
        <v>-9.9317194289260981E-3</v>
      </c>
    </row>
    <row r="157" spans="1:35" x14ac:dyDescent="0.25">
      <c r="A157" t="s">
        <v>33</v>
      </c>
      <c r="B157">
        <v>2021</v>
      </c>
      <c r="C157">
        <v>5</v>
      </c>
      <c r="D157" s="13">
        <f t="shared" si="10"/>
        <v>44317</v>
      </c>
      <c r="E157">
        <v>146.30000000000001</v>
      </c>
      <c r="F157">
        <v>200.5</v>
      </c>
      <c r="G157">
        <v>170.3</v>
      </c>
      <c r="H157">
        <v>156.1</v>
      </c>
      <c r="I157">
        <v>178.7</v>
      </c>
      <c r="J157">
        <v>167.1</v>
      </c>
      <c r="K157">
        <v>147.9</v>
      </c>
      <c r="L157">
        <v>165.4</v>
      </c>
      <c r="M157">
        <v>114.8</v>
      </c>
      <c r="N157">
        <v>168.2</v>
      </c>
      <c r="O157">
        <v>159.30000000000001</v>
      </c>
      <c r="P157">
        <v>170.4</v>
      </c>
      <c r="Q157">
        <v>160.69999999999999</v>
      </c>
      <c r="R157" s="12">
        <f t="shared" si="11"/>
        <v>-2.131546894031669E-2</v>
      </c>
      <c r="S157">
        <v>191.9</v>
      </c>
      <c r="T157">
        <v>161.80000000000001</v>
      </c>
      <c r="U157">
        <v>152.1</v>
      </c>
      <c r="V157">
        <v>160.4</v>
      </c>
      <c r="W157">
        <v>161.6</v>
      </c>
      <c r="X157">
        <v>159.4</v>
      </c>
      <c r="Y157" s="12">
        <f t="shared" si="12"/>
        <v>2.5080385852090069E-2</v>
      </c>
      <c r="Z157">
        <v>154.69999999999999</v>
      </c>
      <c r="AA157">
        <v>165.8</v>
      </c>
      <c r="AB157" s="12">
        <f t="shared" si="13"/>
        <v>3.3665835411471355E-2</v>
      </c>
      <c r="AC157">
        <v>148.9</v>
      </c>
      <c r="AD157">
        <v>155.80000000000001</v>
      </c>
      <c r="AE157">
        <v>161.19999999999999</v>
      </c>
      <c r="AF157">
        <v>158.6</v>
      </c>
      <c r="AG157">
        <v>156.80000000000001</v>
      </c>
      <c r="AH157">
        <v>160.4</v>
      </c>
      <c r="AI157" s="11">
        <f t="shared" si="14"/>
        <v>5.6426332288401614E-3</v>
      </c>
    </row>
    <row r="158" spans="1:35" x14ac:dyDescent="0.25">
      <c r="A158" t="s">
        <v>30</v>
      </c>
      <c r="B158">
        <v>2022</v>
      </c>
      <c r="C158">
        <v>5</v>
      </c>
      <c r="D158" s="13">
        <f t="shared" si="10"/>
        <v>44682</v>
      </c>
      <c r="E158">
        <v>152.9</v>
      </c>
      <c r="F158">
        <v>214.7</v>
      </c>
      <c r="G158">
        <v>161.4</v>
      </c>
      <c r="H158">
        <v>164.6</v>
      </c>
      <c r="I158">
        <v>209.9</v>
      </c>
      <c r="J158">
        <v>168</v>
      </c>
      <c r="K158">
        <v>160.4</v>
      </c>
      <c r="L158">
        <v>165</v>
      </c>
      <c r="M158">
        <v>118.9</v>
      </c>
      <c r="N158">
        <v>186.6</v>
      </c>
      <c r="O158">
        <v>173.2</v>
      </c>
      <c r="P158">
        <v>180.4</v>
      </c>
      <c r="Q158">
        <v>170.8</v>
      </c>
      <c r="R158" s="12">
        <f t="shared" si="11"/>
        <v>6.2850031113876936E-2</v>
      </c>
      <c r="S158">
        <v>192.9</v>
      </c>
      <c r="T158">
        <v>179.3</v>
      </c>
      <c r="U158">
        <v>177.2</v>
      </c>
      <c r="V158">
        <v>179</v>
      </c>
      <c r="W158" t="s">
        <v>31</v>
      </c>
      <c r="X158">
        <v>175.3</v>
      </c>
      <c r="Y158" s="12">
        <f t="shared" si="12"/>
        <v>9.9749058971141807E-2</v>
      </c>
      <c r="Z158">
        <v>168.9</v>
      </c>
      <c r="AA158">
        <v>177.7</v>
      </c>
      <c r="AB158" s="12">
        <f t="shared" si="13"/>
        <v>7.1773220747888875E-2</v>
      </c>
      <c r="AC158">
        <v>167.1</v>
      </c>
      <c r="AD158">
        <v>167.6</v>
      </c>
      <c r="AE158">
        <v>171.8</v>
      </c>
      <c r="AF158">
        <v>168.5</v>
      </c>
      <c r="AG158">
        <v>170.9</v>
      </c>
      <c r="AH158">
        <v>172.5</v>
      </c>
      <c r="AI158" s="11">
        <f t="shared" si="14"/>
        <v>7.5436408977556074E-2</v>
      </c>
    </row>
    <row r="159" spans="1:35" x14ac:dyDescent="0.25">
      <c r="A159" t="s">
        <v>32</v>
      </c>
      <c r="B159">
        <v>2022</v>
      </c>
      <c r="C159">
        <v>5</v>
      </c>
      <c r="D159" s="13">
        <f t="shared" si="10"/>
        <v>44682</v>
      </c>
      <c r="E159">
        <v>156.69999999999999</v>
      </c>
      <c r="F159">
        <v>221.2</v>
      </c>
      <c r="G159">
        <v>164.1</v>
      </c>
      <c r="H159">
        <v>165.4</v>
      </c>
      <c r="I159">
        <v>189.5</v>
      </c>
      <c r="J159">
        <v>174.5</v>
      </c>
      <c r="K159">
        <v>203.2</v>
      </c>
      <c r="L159">
        <v>164.1</v>
      </c>
      <c r="M159">
        <v>121.2</v>
      </c>
      <c r="N159">
        <v>181.4</v>
      </c>
      <c r="O159">
        <v>158.5</v>
      </c>
      <c r="P159">
        <v>184.9</v>
      </c>
      <c r="Q159">
        <v>177.5</v>
      </c>
      <c r="R159" s="12">
        <f t="shared" si="11"/>
        <v>3.9227166276346537E-2</v>
      </c>
      <c r="S159">
        <v>197.5</v>
      </c>
      <c r="T159">
        <v>170</v>
      </c>
      <c r="U159">
        <v>155.9</v>
      </c>
      <c r="V159">
        <v>167.8</v>
      </c>
      <c r="W159">
        <v>167.5</v>
      </c>
      <c r="X159">
        <v>173.5</v>
      </c>
      <c r="Y159" s="12">
        <f t="shared" si="12"/>
        <v>-1.0268111808328644E-2</v>
      </c>
      <c r="Z159">
        <v>161.1</v>
      </c>
      <c r="AA159">
        <v>170.1</v>
      </c>
      <c r="AB159" s="12">
        <f t="shared" si="13"/>
        <v>-4.2768711311198623E-2</v>
      </c>
      <c r="AC159">
        <v>159.4</v>
      </c>
      <c r="AD159">
        <v>163.19999999999999</v>
      </c>
      <c r="AE159">
        <v>165.2</v>
      </c>
      <c r="AF159">
        <v>168.2</v>
      </c>
      <c r="AG159">
        <v>163.80000000000001</v>
      </c>
      <c r="AH159">
        <v>170.8</v>
      </c>
      <c r="AI159" s="11">
        <f t="shared" si="14"/>
        <v>-9.8550724637680494E-3</v>
      </c>
    </row>
    <row r="160" spans="1:35" x14ac:dyDescent="0.25">
      <c r="A160" t="s">
        <v>33</v>
      </c>
      <c r="B160">
        <v>2022</v>
      </c>
      <c r="C160">
        <v>5</v>
      </c>
      <c r="D160" s="13">
        <f t="shared" si="10"/>
        <v>44682</v>
      </c>
      <c r="E160">
        <v>154.1</v>
      </c>
      <c r="F160">
        <v>217</v>
      </c>
      <c r="G160">
        <v>162.4</v>
      </c>
      <c r="H160">
        <v>164.9</v>
      </c>
      <c r="I160">
        <v>202.4</v>
      </c>
      <c r="J160">
        <v>171</v>
      </c>
      <c r="K160">
        <v>174.9</v>
      </c>
      <c r="L160">
        <v>164.7</v>
      </c>
      <c r="M160">
        <v>119.7</v>
      </c>
      <c r="N160">
        <v>184.9</v>
      </c>
      <c r="O160">
        <v>167.1</v>
      </c>
      <c r="P160">
        <v>182.5</v>
      </c>
      <c r="Q160">
        <v>173.3</v>
      </c>
      <c r="R160" s="12">
        <f t="shared" si="11"/>
        <v>-2.366197183098585E-2</v>
      </c>
      <c r="S160">
        <v>194.1</v>
      </c>
      <c r="T160">
        <v>175.6</v>
      </c>
      <c r="U160">
        <v>168.4</v>
      </c>
      <c r="V160">
        <v>174.6</v>
      </c>
      <c r="W160">
        <v>167.5</v>
      </c>
      <c r="X160">
        <v>174.6</v>
      </c>
      <c r="Y160" s="12">
        <f t="shared" si="12"/>
        <v>6.3400576368875753E-3</v>
      </c>
      <c r="Z160">
        <v>165.2</v>
      </c>
      <c r="AA160">
        <v>174.8</v>
      </c>
      <c r="AB160" s="12">
        <f t="shared" si="13"/>
        <v>2.7630805408583287E-2</v>
      </c>
      <c r="AC160">
        <v>163</v>
      </c>
      <c r="AD160">
        <v>165.1</v>
      </c>
      <c r="AE160">
        <v>167.9</v>
      </c>
      <c r="AF160">
        <v>168.4</v>
      </c>
      <c r="AG160">
        <v>167.5</v>
      </c>
      <c r="AH160">
        <v>171.7</v>
      </c>
      <c r="AI160" s="11">
        <f t="shared" si="14"/>
        <v>5.2693208430912011E-3</v>
      </c>
    </row>
    <row r="161" spans="1:35" x14ac:dyDescent="0.25">
      <c r="A161" t="s">
        <v>30</v>
      </c>
      <c r="B161">
        <v>2023</v>
      </c>
      <c r="C161">
        <v>5</v>
      </c>
      <c r="D161" s="13">
        <f t="shared" si="10"/>
        <v>45047</v>
      </c>
      <c r="E161">
        <v>173.2</v>
      </c>
      <c r="F161">
        <v>211.5</v>
      </c>
      <c r="G161">
        <v>171</v>
      </c>
      <c r="H161">
        <v>179.6</v>
      </c>
      <c r="I161">
        <v>173.3</v>
      </c>
      <c r="J161">
        <v>169</v>
      </c>
      <c r="K161">
        <v>148.69999999999999</v>
      </c>
      <c r="L161">
        <v>174.9</v>
      </c>
      <c r="M161">
        <v>121.9</v>
      </c>
      <c r="N161">
        <v>221</v>
      </c>
      <c r="O161">
        <v>178.7</v>
      </c>
      <c r="P161">
        <v>191.1</v>
      </c>
      <c r="Q161">
        <v>176.8</v>
      </c>
      <c r="R161" s="12">
        <f t="shared" si="11"/>
        <v>2.0196191575302943E-2</v>
      </c>
      <c r="S161">
        <v>199.9</v>
      </c>
      <c r="T161">
        <v>191.2</v>
      </c>
      <c r="U161">
        <v>187.9</v>
      </c>
      <c r="V161">
        <v>190.8</v>
      </c>
      <c r="W161" t="s">
        <v>31</v>
      </c>
      <c r="X161">
        <v>182.5</v>
      </c>
      <c r="Y161" s="12">
        <f t="shared" si="12"/>
        <v>4.5246277205040125E-2</v>
      </c>
      <c r="Z161">
        <v>179.8</v>
      </c>
      <c r="AA161">
        <v>187.8</v>
      </c>
      <c r="AB161" s="12">
        <f t="shared" si="13"/>
        <v>7.4370709382151026E-2</v>
      </c>
      <c r="AC161">
        <v>169.7</v>
      </c>
      <c r="AD161">
        <v>173.8</v>
      </c>
      <c r="AE161">
        <v>180.3</v>
      </c>
      <c r="AF161">
        <v>184.9</v>
      </c>
      <c r="AG161">
        <v>179.5</v>
      </c>
      <c r="AH161">
        <v>179.8</v>
      </c>
      <c r="AI161" s="11">
        <f t="shared" si="14"/>
        <v>4.717530576587084E-2</v>
      </c>
    </row>
    <row r="162" spans="1:35" x14ac:dyDescent="0.25">
      <c r="A162" t="s">
        <v>32</v>
      </c>
      <c r="B162">
        <v>2023</v>
      </c>
      <c r="C162">
        <v>5</v>
      </c>
      <c r="D162" s="13">
        <f t="shared" si="10"/>
        <v>45047</v>
      </c>
      <c r="E162">
        <v>174.7</v>
      </c>
      <c r="F162">
        <v>219.4</v>
      </c>
      <c r="G162">
        <v>176.7</v>
      </c>
      <c r="H162">
        <v>179.4</v>
      </c>
      <c r="I162">
        <v>164.4</v>
      </c>
      <c r="J162">
        <v>175.8</v>
      </c>
      <c r="K162">
        <v>185</v>
      </c>
      <c r="L162">
        <v>176.9</v>
      </c>
      <c r="M162">
        <v>124.2</v>
      </c>
      <c r="N162">
        <v>211.9</v>
      </c>
      <c r="O162">
        <v>165.9</v>
      </c>
      <c r="P162">
        <v>197.7</v>
      </c>
      <c r="Q162">
        <v>183.1</v>
      </c>
      <c r="R162" s="12">
        <f t="shared" si="11"/>
        <v>3.5633484162895829E-2</v>
      </c>
      <c r="S162">
        <v>204.2</v>
      </c>
      <c r="T162">
        <v>181.3</v>
      </c>
      <c r="U162">
        <v>168.1</v>
      </c>
      <c r="V162">
        <v>179.3</v>
      </c>
      <c r="W162">
        <v>175.6</v>
      </c>
      <c r="X162">
        <v>183.4</v>
      </c>
      <c r="Y162" s="12">
        <f t="shared" si="12"/>
        <v>4.9315068493150996E-3</v>
      </c>
      <c r="Z162">
        <v>170.1</v>
      </c>
      <c r="AA162">
        <v>182.2</v>
      </c>
      <c r="AB162" s="12">
        <f t="shared" si="13"/>
        <v>-2.9818956336528341E-2</v>
      </c>
      <c r="AC162">
        <v>160.4</v>
      </c>
      <c r="AD162">
        <v>169.2</v>
      </c>
      <c r="AE162">
        <v>174.8</v>
      </c>
      <c r="AF162">
        <v>185.6</v>
      </c>
      <c r="AG162">
        <v>171.6</v>
      </c>
      <c r="AH162">
        <v>178.2</v>
      </c>
      <c r="AI162" s="11">
        <f t="shared" si="14"/>
        <v>-8.8987764182426182E-3</v>
      </c>
    </row>
    <row r="163" spans="1:35" x14ac:dyDescent="0.25">
      <c r="A163" t="s">
        <v>33</v>
      </c>
      <c r="B163">
        <v>2023</v>
      </c>
      <c r="C163">
        <v>5</v>
      </c>
      <c r="D163" s="13">
        <f t="shared" si="10"/>
        <v>45047</v>
      </c>
      <c r="E163">
        <v>173.7</v>
      </c>
      <c r="F163">
        <v>214.3</v>
      </c>
      <c r="G163">
        <v>173.2</v>
      </c>
      <c r="H163">
        <v>179.5</v>
      </c>
      <c r="I163">
        <v>170</v>
      </c>
      <c r="J163">
        <v>172.2</v>
      </c>
      <c r="K163">
        <v>161</v>
      </c>
      <c r="L163">
        <v>175.6</v>
      </c>
      <c r="M163">
        <v>122.7</v>
      </c>
      <c r="N163">
        <v>218</v>
      </c>
      <c r="O163">
        <v>173.4</v>
      </c>
      <c r="P163">
        <v>194.2</v>
      </c>
      <c r="Q163">
        <v>179.1</v>
      </c>
      <c r="R163" s="12">
        <f t="shared" si="11"/>
        <v>-2.1845985800109231E-2</v>
      </c>
      <c r="S163">
        <v>201</v>
      </c>
      <c r="T163">
        <v>187.3</v>
      </c>
      <c r="U163">
        <v>179.7</v>
      </c>
      <c r="V163">
        <v>186.2</v>
      </c>
      <c r="W163">
        <v>175.6</v>
      </c>
      <c r="X163">
        <v>182.8</v>
      </c>
      <c r="Y163" s="12">
        <f t="shared" si="12"/>
        <v>-3.2715376226826296E-3</v>
      </c>
      <c r="Z163">
        <v>175.2</v>
      </c>
      <c r="AA163">
        <v>185.7</v>
      </c>
      <c r="AB163" s="12">
        <f t="shared" si="13"/>
        <v>1.9209659714599342E-2</v>
      </c>
      <c r="AC163">
        <v>164.8</v>
      </c>
      <c r="AD163">
        <v>171.2</v>
      </c>
      <c r="AE163">
        <v>177.1</v>
      </c>
      <c r="AF163">
        <v>185.2</v>
      </c>
      <c r="AG163">
        <v>175.7</v>
      </c>
      <c r="AH163">
        <v>179.1</v>
      </c>
      <c r="AI163" s="11">
        <f t="shared" si="14"/>
        <v>5.050505050505083E-3</v>
      </c>
    </row>
    <row r="164" spans="1:35" x14ac:dyDescent="0.25">
      <c r="A164" t="s">
        <v>30</v>
      </c>
      <c r="B164">
        <v>2013</v>
      </c>
      <c r="C164">
        <v>6</v>
      </c>
      <c r="D164" s="13">
        <f t="shared" si="10"/>
        <v>41426</v>
      </c>
      <c r="E164">
        <v>112.3</v>
      </c>
      <c r="F164">
        <v>112.1</v>
      </c>
      <c r="G164">
        <v>108.1</v>
      </c>
      <c r="H164">
        <v>108.3</v>
      </c>
      <c r="I164">
        <v>105.9</v>
      </c>
      <c r="J164">
        <v>109.2</v>
      </c>
      <c r="K164">
        <v>118</v>
      </c>
      <c r="L164">
        <v>106.8</v>
      </c>
      <c r="M164">
        <v>104.1</v>
      </c>
      <c r="N164">
        <v>105.4</v>
      </c>
      <c r="O164">
        <v>108.2</v>
      </c>
      <c r="P164">
        <v>111</v>
      </c>
      <c r="Q164">
        <v>110.6</v>
      </c>
      <c r="R164" s="12">
        <f t="shared" si="11"/>
        <v>-0.3824678950307091</v>
      </c>
      <c r="S164">
        <v>109</v>
      </c>
      <c r="T164">
        <v>109.7</v>
      </c>
      <c r="U164">
        <v>108.8</v>
      </c>
      <c r="V164">
        <v>109.5</v>
      </c>
      <c r="W164" t="s">
        <v>31</v>
      </c>
      <c r="X164">
        <v>108.5</v>
      </c>
      <c r="Y164" s="12">
        <f t="shared" si="12"/>
        <v>-0.40645514223194751</v>
      </c>
      <c r="Z164">
        <v>107.5</v>
      </c>
      <c r="AA164">
        <v>106.3</v>
      </c>
      <c r="AB164" s="12">
        <f t="shared" si="13"/>
        <v>-0.42757135164243404</v>
      </c>
      <c r="AC164">
        <v>105</v>
      </c>
      <c r="AD164">
        <v>105.6</v>
      </c>
      <c r="AE164">
        <v>106.5</v>
      </c>
      <c r="AF164">
        <v>102.5</v>
      </c>
      <c r="AG164">
        <v>105.5</v>
      </c>
      <c r="AH164">
        <v>108.9</v>
      </c>
      <c r="AI164" s="11">
        <f t="shared" si="14"/>
        <v>-0.39195979899497485</v>
      </c>
    </row>
    <row r="165" spans="1:35" x14ac:dyDescent="0.25">
      <c r="A165" t="s">
        <v>32</v>
      </c>
      <c r="B165">
        <v>2013</v>
      </c>
      <c r="C165">
        <v>6</v>
      </c>
      <c r="D165" s="13">
        <f t="shared" si="10"/>
        <v>41426</v>
      </c>
      <c r="E165">
        <v>117</v>
      </c>
      <c r="F165">
        <v>120.1</v>
      </c>
      <c r="G165">
        <v>112.5</v>
      </c>
      <c r="H165">
        <v>107.3</v>
      </c>
      <c r="I165">
        <v>101.3</v>
      </c>
      <c r="J165">
        <v>112.4</v>
      </c>
      <c r="K165">
        <v>143.6</v>
      </c>
      <c r="L165">
        <v>105.4</v>
      </c>
      <c r="M165">
        <v>101.4</v>
      </c>
      <c r="N165">
        <v>106.4</v>
      </c>
      <c r="O165">
        <v>110</v>
      </c>
      <c r="P165">
        <v>112.2</v>
      </c>
      <c r="Q165">
        <v>115</v>
      </c>
      <c r="R165" s="12">
        <f t="shared" si="11"/>
        <v>3.978300180831832E-2</v>
      </c>
      <c r="S165">
        <v>110.9</v>
      </c>
      <c r="T165">
        <v>109.2</v>
      </c>
      <c r="U165">
        <v>107.2</v>
      </c>
      <c r="V165">
        <v>108.9</v>
      </c>
      <c r="W165">
        <v>106.6</v>
      </c>
      <c r="X165">
        <v>108</v>
      </c>
      <c r="Y165" s="12">
        <f t="shared" si="12"/>
        <v>-4.608294930875576E-3</v>
      </c>
      <c r="Z165">
        <v>107.7</v>
      </c>
      <c r="AA165">
        <v>106.5</v>
      </c>
      <c r="AB165" s="12">
        <f t="shared" si="13"/>
        <v>1.8814675446848809E-3</v>
      </c>
      <c r="AC165">
        <v>105.2</v>
      </c>
      <c r="AD165">
        <v>105.2</v>
      </c>
      <c r="AE165">
        <v>108.1</v>
      </c>
      <c r="AF165">
        <v>103.3</v>
      </c>
      <c r="AG165">
        <v>106.1</v>
      </c>
      <c r="AH165">
        <v>109.7</v>
      </c>
      <c r="AI165" s="11">
        <f t="shared" si="14"/>
        <v>7.3461891643709564E-3</v>
      </c>
    </row>
    <row r="166" spans="1:35" x14ac:dyDescent="0.25">
      <c r="A166" t="s">
        <v>33</v>
      </c>
      <c r="B166">
        <v>2013</v>
      </c>
      <c r="C166">
        <v>6</v>
      </c>
      <c r="D166" s="13">
        <f t="shared" si="10"/>
        <v>41426</v>
      </c>
      <c r="E166">
        <v>113.8</v>
      </c>
      <c r="F166">
        <v>114.9</v>
      </c>
      <c r="G166">
        <v>109.8</v>
      </c>
      <c r="H166">
        <v>107.9</v>
      </c>
      <c r="I166">
        <v>104.2</v>
      </c>
      <c r="J166">
        <v>110.7</v>
      </c>
      <c r="K166">
        <v>126.7</v>
      </c>
      <c r="L166">
        <v>106.3</v>
      </c>
      <c r="M166">
        <v>103.2</v>
      </c>
      <c r="N166">
        <v>105.7</v>
      </c>
      <c r="O166">
        <v>109</v>
      </c>
      <c r="P166">
        <v>111.6</v>
      </c>
      <c r="Q166">
        <v>112.2</v>
      </c>
      <c r="R166" s="12">
        <f t="shared" si="11"/>
        <v>-2.4347826086956497E-2</v>
      </c>
      <c r="S166">
        <v>109.5</v>
      </c>
      <c r="T166">
        <v>109.5</v>
      </c>
      <c r="U166">
        <v>108.1</v>
      </c>
      <c r="V166">
        <v>109.3</v>
      </c>
      <c r="W166">
        <v>106.6</v>
      </c>
      <c r="X166">
        <v>108.3</v>
      </c>
      <c r="Y166" s="12">
        <f t="shared" si="12"/>
        <v>2.7777777777777514E-3</v>
      </c>
      <c r="Z166">
        <v>107.6</v>
      </c>
      <c r="AA166">
        <v>106.4</v>
      </c>
      <c r="AB166" s="12">
        <f t="shared" si="13"/>
        <v>-9.3896713615018138E-4</v>
      </c>
      <c r="AC166">
        <v>105.1</v>
      </c>
      <c r="AD166">
        <v>105.4</v>
      </c>
      <c r="AE166">
        <v>107.4</v>
      </c>
      <c r="AF166">
        <v>102.8</v>
      </c>
      <c r="AG166">
        <v>105.8</v>
      </c>
      <c r="AH166">
        <v>109.3</v>
      </c>
      <c r="AI166" s="11">
        <f t="shared" si="14"/>
        <v>-3.646308113035603E-3</v>
      </c>
    </row>
    <row r="167" spans="1:35" x14ac:dyDescent="0.25">
      <c r="A167" t="s">
        <v>30</v>
      </c>
      <c r="B167">
        <v>2014</v>
      </c>
      <c r="C167">
        <v>6</v>
      </c>
      <c r="D167" s="13">
        <f t="shared" si="10"/>
        <v>41791</v>
      </c>
      <c r="E167">
        <v>120.7</v>
      </c>
      <c r="F167">
        <v>121.6</v>
      </c>
      <c r="G167">
        <v>116.1</v>
      </c>
      <c r="H167">
        <v>119.3</v>
      </c>
      <c r="I167">
        <v>110.3</v>
      </c>
      <c r="J167">
        <v>125.8</v>
      </c>
      <c r="K167">
        <v>129.30000000000001</v>
      </c>
      <c r="L167">
        <v>112.2</v>
      </c>
      <c r="M167">
        <v>103.6</v>
      </c>
      <c r="N167">
        <v>112.3</v>
      </c>
      <c r="O167">
        <v>114.9</v>
      </c>
      <c r="P167">
        <v>120.1</v>
      </c>
      <c r="Q167">
        <v>119.5</v>
      </c>
      <c r="R167" s="12">
        <f t="shared" si="11"/>
        <v>6.506238859180033E-2</v>
      </c>
      <c r="S167">
        <v>117.3</v>
      </c>
      <c r="T167">
        <v>119.7</v>
      </c>
      <c r="U167">
        <v>117.3</v>
      </c>
      <c r="V167">
        <v>119.3</v>
      </c>
      <c r="W167" t="s">
        <v>31</v>
      </c>
      <c r="X167">
        <v>114.4</v>
      </c>
      <c r="Y167" s="12">
        <f t="shared" si="12"/>
        <v>5.6325023084025934E-2</v>
      </c>
      <c r="Z167">
        <v>114.9</v>
      </c>
      <c r="AA167">
        <v>112.8</v>
      </c>
      <c r="AB167" s="12">
        <f t="shared" si="13"/>
        <v>6.0150375939849537E-2</v>
      </c>
      <c r="AC167">
        <v>112.2</v>
      </c>
      <c r="AD167">
        <v>111.4</v>
      </c>
      <c r="AE167">
        <v>114.3</v>
      </c>
      <c r="AF167">
        <v>108</v>
      </c>
      <c r="AG167">
        <v>112.3</v>
      </c>
      <c r="AH167">
        <v>117</v>
      </c>
      <c r="AI167" s="11">
        <f t="shared" si="14"/>
        <v>7.0448307410795996E-2</v>
      </c>
    </row>
    <row r="168" spans="1:35" x14ac:dyDescent="0.25">
      <c r="A168" t="s">
        <v>32</v>
      </c>
      <c r="B168">
        <v>2014</v>
      </c>
      <c r="C168">
        <v>6</v>
      </c>
      <c r="D168" s="13">
        <f t="shared" si="10"/>
        <v>41791</v>
      </c>
      <c r="E168">
        <v>123.1</v>
      </c>
      <c r="F168">
        <v>125.9</v>
      </c>
      <c r="G168">
        <v>115.4</v>
      </c>
      <c r="H168">
        <v>120.4</v>
      </c>
      <c r="I168">
        <v>103.4</v>
      </c>
      <c r="J168">
        <v>131.19999999999999</v>
      </c>
      <c r="K168">
        <v>137.5</v>
      </c>
      <c r="L168">
        <v>112.8</v>
      </c>
      <c r="M168">
        <v>101.4</v>
      </c>
      <c r="N168">
        <v>118.3</v>
      </c>
      <c r="O168">
        <v>113.2</v>
      </c>
      <c r="P168">
        <v>122.4</v>
      </c>
      <c r="Q168">
        <v>122</v>
      </c>
      <c r="R168" s="12">
        <f t="shared" si="11"/>
        <v>2.0920502092050208E-2</v>
      </c>
      <c r="S168">
        <v>119</v>
      </c>
      <c r="T168">
        <v>117.4</v>
      </c>
      <c r="U168">
        <v>113.2</v>
      </c>
      <c r="V168">
        <v>116.7</v>
      </c>
      <c r="W168">
        <v>113.9</v>
      </c>
      <c r="X168">
        <v>111.2</v>
      </c>
      <c r="Y168" s="12">
        <f t="shared" si="12"/>
        <v>-2.7972027972027996E-2</v>
      </c>
      <c r="Z168">
        <v>114.3</v>
      </c>
      <c r="AA168">
        <v>111.4</v>
      </c>
      <c r="AB168" s="12">
        <f t="shared" si="13"/>
        <v>-1.2411347517730421E-2</v>
      </c>
      <c r="AC168">
        <v>111.5</v>
      </c>
      <c r="AD168">
        <v>111.8</v>
      </c>
      <c r="AE168">
        <v>115.1</v>
      </c>
      <c r="AF168">
        <v>108.7</v>
      </c>
      <c r="AG168">
        <v>112.2</v>
      </c>
      <c r="AH168">
        <v>116.4</v>
      </c>
      <c r="AI168" s="11">
        <f t="shared" si="14"/>
        <v>-5.1282051282050796E-3</v>
      </c>
    </row>
    <row r="169" spans="1:35" x14ac:dyDescent="0.25">
      <c r="A169" t="s">
        <v>33</v>
      </c>
      <c r="B169">
        <v>2014</v>
      </c>
      <c r="C169">
        <v>6</v>
      </c>
      <c r="D169" s="13">
        <f t="shared" si="10"/>
        <v>41791</v>
      </c>
      <c r="E169">
        <v>121.5</v>
      </c>
      <c r="F169">
        <v>123.1</v>
      </c>
      <c r="G169">
        <v>115.8</v>
      </c>
      <c r="H169">
        <v>119.7</v>
      </c>
      <c r="I169">
        <v>107.8</v>
      </c>
      <c r="J169">
        <v>128.30000000000001</v>
      </c>
      <c r="K169">
        <v>132.1</v>
      </c>
      <c r="L169">
        <v>112.4</v>
      </c>
      <c r="M169">
        <v>102.9</v>
      </c>
      <c r="N169">
        <v>114.3</v>
      </c>
      <c r="O169">
        <v>114.2</v>
      </c>
      <c r="P169">
        <v>121.2</v>
      </c>
      <c r="Q169">
        <v>120.4</v>
      </c>
      <c r="R169" s="12">
        <f t="shared" si="11"/>
        <v>-1.3114754098360609E-2</v>
      </c>
      <c r="S169">
        <v>117.8</v>
      </c>
      <c r="T169">
        <v>118.8</v>
      </c>
      <c r="U169">
        <v>115.6</v>
      </c>
      <c r="V169">
        <v>118.3</v>
      </c>
      <c r="W169">
        <v>113.9</v>
      </c>
      <c r="X169">
        <v>113.2</v>
      </c>
      <c r="Y169" s="12">
        <f t="shared" si="12"/>
        <v>1.7985611510791366E-2</v>
      </c>
      <c r="Z169">
        <v>114.6</v>
      </c>
      <c r="AA169">
        <v>112.3</v>
      </c>
      <c r="AB169" s="12">
        <f t="shared" si="13"/>
        <v>8.0789946140035138E-3</v>
      </c>
      <c r="AC169">
        <v>111.8</v>
      </c>
      <c r="AD169">
        <v>111.6</v>
      </c>
      <c r="AE169">
        <v>114.8</v>
      </c>
      <c r="AF169">
        <v>108.3</v>
      </c>
      <c r="AG169">
        <v>112.3</v>
      </c>
      <c r="AH169">
        <v>116.7</v>
      </c>
      <c r="AI169" s="11">
        <f t="shared" si="14"/>
        <v>2.5773195876288416E-3</v>
      </c>
    </row>
    <row r="170" spans="1:35" x14ac:dyDescent="0.25">
      <c r="A170" t="s">
        <v>30</v>
      </c>
      <c r="B170">
        <v>2015</v>
      </c>
      <c r="C170">
        <v>6</v>
      </c>
      <c r="D170" s="13">
        <f t="shared" si="10"/>
        <v>42156</v>
      </c>
      <c r="E170">
        <v>124.1</v>
      </c>
      <c r="F170">
        <v>130.4</v>
      </c>
      <c r="G170">
        <v>122.1</v>
      </c>
      <c r="H170">
        <v>128.69999999999999</v>
      </c>
      <c r="I170">
        <v>114.1</v>
      </c>
      <c r="J170">
        <v>133.19999999999999</v>
      </c>
      <c r="K170">
        <v>135.19999999999999</v>
      </c>
      <c r="L170">
        <v>131.9</v>
      </c>
      <c r="M170">
        <v>96.3</v>
      </c>
      <c r="N170">
        <v>123</v>
      </c>
      <c r="O170">
        <v>121.1</v>
      </c>
      <c r="P170">
        <v>131.19999999999999</v>
      </c>
      <c r="Q170">
        <v>126.6</v>
      </c>
      <c r="R170" s="12">
        <f t="shared" si="11"/>
        <v>5.1495016611295581E-2</v>
      </c>
      <c r="S170">
        <v>128.19999999999999</v>
      </c>
      <c r="T170">
        <v>128.4</v>
      </c>
      <c r="U170">
        <v>125.1</v>
      </c>
      <c r="V170">
        <v>128</v>
      </c>
      <c r="W170" t="s">
        <v>31</v>
      </c>
      <c r="X170">
        <v>122.6</v>
      </c>
      <c r="Y170" s="12">
        <f t="shared" si="12"/>
        <v>8.3038869257950454E-2</v>
      </c>
      <c r="Z170">
        <v>122.8</v>
      </c>
      <c r="AA170">
        <v>120.4</v>
      </c>
      <c r="AB170" s="12">
        <f t="shared" si="13"/>
        <v>7.2128227960819316E-2</v>
      </c>
      <c r="AC170">
        <v>114.2</v>
      </c>
      <c r="AD170">
        <v>117.9</v>
      </c>
      <c r="AE170">
        <v>122</v>
      </c>
      <c r="AF170">
        <v>113</v>
      </c>
      <c r="AG170">
        <v>117.9</v>
      </c>
      <c r="AH170">
        <v>124.1</v>
      </c>
      <c r="AI170" s="11">
        <f t="shared" si="14"/>
        <v>6.3410454155955365E-2</v>
      </c>
    </row>
    <row r="171" spans="1:35" x14ac:dyDescent="0.25">
      <c r="A171" t="s">
        <v>32</v>
      </c>
      <c r="B171">
        <v>2015</v>
      </c>
      <c r="C171">
        <v>6</v>
      </c>
      <c r="D171" s="13">
        <f t="shared" si="10"/>
        <v>42156</v>
      </c>
      <c r="E171">
        <v>123.6</v>
      </c>
      <c r="F171">
        <v>134.4</v>
      </c>
      <c r="G171">
        <v>120.9</v>
      </c>
      <c r="H171">
        <v>127.3</v>
      </c>
      <c r="I171">
        <v>106</v>
      </c>
      <c r="J171">
        <v>132.30000000000001</v>
      </c>
      <c r="K171">
        <v>146.69999999999999</v>
      </c>
      <c r="L171">
        <v>148.1</v>
      </c>
      <c r="M171">
        <v>89.8</v>
      </c>
      <c r="N171">
        <v>130.5</v>
      </c>
      <c r="O171">
        <v>118</v>
      </c>
      <c r="P171">
        <v>130.5</v>
      </c>
      <c r="Q171">
        <v>128.5</v>
      </c>
      <c r="R171" s="12">
        <f t="shared" si="11"/>
        <v>1.5007898894154863E-2</v>
      </c>
      <c r="S171">
        <v>132.1</v>
      </c>
      <c r="T171">
        <v>123.2</v>
      </c>
      <c r="U171">
        <v>117.6</v>
      </c>
      <c r="V171">
        <v>122.3</v>
      </c>
      <c r="W171">
        <v>119</v>
      </c>
      <c r="X171">
        <v>115.1</v>
      </c>
      <c r="Y171" s="12">
        <f t="shared" si="12"/>
        <v>-6.1174551386623165E-2</v>
      </c>
      <c r="Z171">
        <v>119.2</v>
      </c>
      <c r="AA171">
        <v>115.4</v>
      </c>
      <c r="AB171" s="12">
        <f t="shared" si="13"/>
        <v>-4.1528239202657809E-2</v>
      </c>
      <c r="AC171">
        <v>111.7</v>
      </c>
      <c r="AD171">
        <v>116.2</v>
      </c>
      <c r="AE171">
        <v>123.8</v>
      </c>
      <c r="AF171">
        <v>112.5</v>
      </c>
      <c r="AG171">
        <v>116</v>
      </c>
      <c r="AH171">
        <v>121.7</v>
      </c>
      <c r="AI171" s="11">
        <f t="shared" si="14"/>
        <v>-1.9339242546333534E-2</v>
      </c>
    </row>
    <row r="172" spans="1:35" x14ac:dyDescent="0.25">
      <c r="A172" t="s">
        <v>33</v>
      </c>
      <c r="B172">
        <v>2015</v>
      </c>
      <c r="C172">
        <v>6</v>
      </c>
      <c r="D172" s="13">
        <f t="shared" si="10"/>
        <v>42156</v>
      </c>
      <c r="E172">
        <v>123.9</v>
      </c>
      <c r="F172">
        <v>131.80000000000001</v>
      </c>
      <c r="G172">
        <v>121.6</v>
      </c>
      <c r="H172">
        <v>128.19999999999999</v>
      </c>
      <c r="I172">
        <v>111.1</v>
      </c>
      <c r="J172">
        <v>132.80000000000001</v>
      </c>
      <c r="K172">
        <v>139.1</v>
      </c>
      <c r="L172">
        <v>137.4</v>
      </c>
      <c r="M172">
        <v>94.1</v>
      </c>
      <c r="N172">
        <v>125.5</v>
      </c>
      <c r="O172">
        <v>119.8</v>
      </c>
      <c r="P172">
        <v>130.9</v>
      </c>
      <c r="Q172">
        <v>127.3</v>
      </c>
      <c r="R172" s="12">
        <f t="shared" si="11"/>
        <v>-9.3385214007782325E-3</v>
      </c>
      <c r="S172">
        <v>129.19999999999999</v>
      </c>
      <c r="T172">
        <v>126.4</v>
      </c>
      <c r="U172">
        <v>122</v>
      </c>
      <c r="V172">
        <v>125.7</v>
      </c>
      <c r="W172">
        <v>119</v>
      </c>
      <c r="X172">
        <v>119.8</v>
      </c>
      <c r="Y172" s="12">
        <f t="shared" si="12"/>
        <v>4.0834057341442249E-2</v>
      </c>
      <c r="Z172">
        <v>121.1</v>
      </c>
      <c r="AA172">
        <v>118.5</v>
      </c>
      <c r="AB172" s="12">
        <f t="shared" si="13"/>
        <v>2.6863084922010349E-2</v>
      </c>
      <c r="AC172">
        <v>112.9</v>
      </c>
      <c r="AD172">
        <v>116.9</v>
      </c>
      <c r="AE172">
        <v>123.1</v>
      </c>
      <c r="AF172">
        <v>112.8</v>
      </c>
      <c r="AG172">
        <v>117</v>
      </c>
      <c r="AH172">
        <v>123</v>
      </c>
      <c r="AI172" s="11">
        <f t="shared" si="14"/>
        <v>1.0682004930156098E-2</v>
      </c>
    </row>
    <row r="173" spans="1:35" x14ac:dyDescent="0.25">
      <c r="A173" t="s">
        <v>30</v>
      </c>
      <c r="B173">
        <v>2016</v>
      </c>
      <c r="C173">
        <v>6</v>
      </c>
      <c r="D173" s="13">
        <f t="shared" si="10"/>
        <v>42522</v>
      </c>
      <c r="E173">
        <v>128.6</v>
      </c>
      <c r="F173">
        <v>138.6</v>
      </c>
      <c r="G173">
        <v>126.6</v>
      </c>
      <c r="H173">
        <v>133.6</v>
      </c>
      <c r="I173">
        <v>118.6</v>
      </c>
      <c r="J173">
        <v>137.4</v>
      </c>
      <c r="K173">
        <v>152.5</v>
      </c>
      <c r="L173">
        <v>169.2</v>
      </c>
      <c r="M173">
        <v>108.8</v>
      </c>
      <c r="N173">
        <v>133.1</v>
      </c>
      <c r="O173">
        <v>126.4</v>
      </c>
      <c r="P173">
        <v>139.19999999999999</v>
      </c>
      <c r="Q173">
        <v>136</v>
      </c>
      <c r="R173" s="12">
        <f t="shared" si="11"/>
        <v>6.8342498036135138E-2</v>
      </c>
      <c r="S173">
        <v>137.19999999999999</v>
      </c>
      <c r="T173">
        <v>136.30000000000001</v>
      </c>
      <c r="U173">
        <v>131.6</v>
      </c>
      <c r="V173">
        <v>135.6</v>
      </c>
      <c r="W173" t="s">
        <v>31</v>
      </c>
      <c r="X173">
        <v>128</v>
      </c>
      <c r="Y173" s="12">
        <f t="shared" si="12"/>
        <v>6.8447412353923237E-2</v>
      </c>
      <c r="Z173">
        <v>129.30000000000001</v>
      </c>
      <c r="AA173">
        <v>126.2</v>
      </c>
      <c r="AB173" s="12">
        <f t="shared" si="13"/>
        <v>6.497890295358652E-2</v>
      </c>
      <c r="AC173">
        <v>116.3</v>
      </c>
      <c r="AD173">
        <v>124.1</v>
      </c>
      <c r="AE173">
        <v>130.19999999999999</v>
      </c>
      <c r="AF173">
        <v>119.9</v>
      </c>
      <c r="AG173">
        <v>123.3</v>
      </c>
      <c r="AH173">
        <v>131.9</v>
      </c>
      <c r="AI173" s="11">
        <f t="shared" si="14"/>
        <v>7.2357723577235813E-2</v>
      </c>
    </row>
    <row r="174" spans="1:35" x14ac:dyDescent="0.25">
      <c r="A174" t="s">
        <v>32</v>
      </c>
      <c r="B174">
        <v>2016</v>
      </c>
      <c r="C174">
        <v>6</v>
      </c>
      <c r="D174" s="13">
        <f t="shared" si="10"/>
        <v>42522</v>
      </c>
      <c r="E174">
        <v>125.9</v>
      </c>
      <c r="F174">
        <v>143.9</v>
      </c>
      <c r="G174">
        <v>130.9</v>
      </c>
      <c r="H174">
        <v>131</v>
      </c>
      <c r="I174">
        <v>110.2</v>
      </c>
      <c r="J174">
        <v>135.5</v>
      </c>
      <c r="K174">
        <v>173.7</v>
      </c>
      <c r="L174">
        <v>184.4</v>
      </c>
      <c r="M174">
        <v>112</v>
      </c>
      <c r="N174">
        <v>142.80000000000001</v>
      </c>
      <c r="O174">
        <v>121.6</v>
      </c>
      <c r="P174">
        <v>136.9</v>
      </c>
      <c r="Q174">
        <v>138.19999999999999</v>
      </c>
      <c r="R174" s="12">
        <f t="shared" si="11"/>
        <v>1.6176470588235209E-2</v>
      </c>
      <c r="S174">
        <v>142.69999999999999</v>
      </c>
      <c r="T174">
        <v>127.6</v>
      </c>
      <c r="U174">
        <v>121.1</v>
      </c>
      <c r="V174">
        <v>126.6</v>
      </c>
      <c r="W174">
        <v>125.5</v>
      </c>
      <c r="X174">
        <v>115.5</v>
      </c>
      <c r="Y174" s="12">
        <f t="shared" si="12"/>
        <v>-9.765625E-2</v>
      </c>
      <c r="Z174">
        <v>123.2</v>
      </c>
      <c r="AA174">
        <v>120.6</v>
      </c>
      <c r="AB174" s="12">
        <f t="shared" si="13"/>
        <v>-4.4374009508716387E-2</v>
      </c>
      <c r="AC174">
        <v>112.3</v>
      </c>
      <c r="AD174">
        <v>119.9</v>
      </c>
      <c r="AE174">
        <v>129.30000000000001</v>
      </c>
      <c r="AF174">
        <v>118.8</v>
      </c>
      <c r="AG174">
        <v>119.6</v>
      </c>
      <c r="AH174">
        <v>128.1</v>
      </c>
      <c r="AI174" s="11">
        <f t="shared" si="14"/>
        <v>-2.8809704321455732E-2</v>
      </c>
    </row>
    <row r="175" spans="1:35" x14ac:dyDescent="0.25">
      <c r="A175" t="s">
        <v>33</v>
      </c>
      <c r="B175">
        <v>2016</v>
      </c>
      <c r="C175">
        <v>6</v>
      </c>
      <c r="D175" s="13">
        <f t="shared" si="10"/>
        <v>42522</v>
      </c>
      <c r="E175">
        <v>127.7</v>
      </c>
      <c r="F175">
        <v>140.5</v>
      </c>
      <c r="G175">
        <v>128.30000000000001</v>
      </c>
      <c r="H175">
        <v>132.6</v>
      </c>
      <c r="I175">
        <v>115.5</v>
      </c>
      <c r="J175">
        <v>136.5</v>
      </c>
      <c r="K175">
        <v>159.69999999999999</v>
      </c>
      <c r="L175">
        <v>174.3</v>
      </c>
      <c r="M175">
        <v>109.9</v>
      </c>
      <c r="N175">
        <v>136.30000000000001</v>
      </c>
      <c r="O175">
        <v>124.4</v>
      </c>
      <c r="P175">
        <v>138.1</v>
      </c>
      <c r="Q175">
        <v>136.80000000000001</v>
      </c>
      <c r="R175" s="12">
        <f t="shared" si="11"/>
        <v>-1.0130246020260329E-2</v>
      </c>
      <c r="S175">
        <v>138.69999999999999</v>
      </c>
      <c r="T175">
        <v>132.9</v>
      </c>
      <c r="U175">
        <v>127.2</v>
      </c>
      <c r="V175">
        <v>132</v>
      </c>
      <c r="W175">
        <v>125.5</v>
      </c>
      <c r="X175">
        <v>123.3</v>
      </c>
      <c r="Y175" s="12">
        <f t="shared" si="12"/>
        <v>6.7532467532467513E-2</v>
      </c>
      <c r="Z175">
        <v>126.4</v>
      </c>
      <c r="AA175">
        <v>124.1</v>
      </c>
      <c r="AB175" s="12">
        <f t="shared" si="13"/>
        <v>2.9021558872305141E-2</v>
      </c>
      <c r="AC175">
        <v>114.2</v>
      </c>
      <c r="AD175">
        <v>121.7</v>
      </c>
      <c r="AE175">
        <v>129.69999999999999</v>
      </c>
      <c r="AF175">
        <v>119.4</v>
      </c>
      <c r="AG175">
        <v>121.5</v>
      </c>
      <c r="AH175">
        <v>130.1</v>
      </c>
      <c r="AI175" s="11">
        <f t="shared" si="14"/>
        <v>1.56128024980484E-2</v>
      </c>
    </row>
    <row r="176" spans="1:35" x14ac:dyDescent="0.25">
      <c r="A176" t="s">
        <v>30</v>
      </c>
      <c r="B176">
        <v>2017</v>
      </c>
      <c r="C176">
        <v>6</v>
      </c>
      <c r="D176" s="13">
        <f t="shared" si="10"/>
        <v>42887</v>
      </c>
      <c r="E176">
        <v>133.5</v>
      </c>
      <c r="F176">
        <v>143.69999999999999</v>
      </c>
      <c r="G176">
        <v>128</v>
      </c>
      <c r="H176">
        <v>138.6</v>
      </c>
      <c r="I176">
        <v>120.9</v>
      </c>
      <c r="J176">
        <v>140.9</v>
      </c>
      <c r="K176">
        <v>128.80000000000001</v>
      </c>
      <c r="L176">
        <v>140.19999999999999</v>
      </c>
      <c r="M176">
        <v>118.9</v>
      </c>
      <c r="N176">
        <v>133.5</v>
      </c>
      <c r="O176">
        <v>130.4</v>
      </c>
      <c r="P176">
        <v>146.5</v>
      </c>
      <c r="Q176">
        <v>134.9</v>
      </c>
      <c r="R176" s="12">
        <f t="shared" si="11"/>
        <v>-1.388888888888893E-2</v>
      </c>
      <c r="S176">
        <v>145.80000000000001</v>
      </c>
      <c r="T176">
        <v>143.1</v>
      </c>
      <c r="U176">
        <v>137.69999999999999</v>
      </c>
      <c r="V176">
        <v>142.30000000000001</v>
      </c>
      <c r="W176" t="s">
        <v>31</v>
      </c>
      <c r="X176">
        <v>134.80000000000001</v>
      </c>
      <c r="Y176" s="12">
        <f t="shared" si="12"/>
        <v>9.3268450932684627E-2</v>
      </c>
      <c r="Z176">
        <v>135.19999999999999</v>
      </c>
      <c r="AA176">
        <v>131.30000000000001</v>
      </c>
      <c r="AB176" s="12">
        <f t="shared" si="13"/>
        <v>5.8017727639000947E-2</v>
      </c>
      <c r="AC176">
        <v>119.4</v>
      </c>
      <c r="AD176">
        <v>129.80000000000001</v>
      </c>
      <c r="AE176">
        <v>136.9</v>
      </c>
      <c r="AF176">
        <v>124.1</v>
      </c>
      <c r="AG176">
        <v>128.1</v>
      </c>
      <c r="AH176">
        <v>133.9</v>
      </c>
      <c r="AI176" s="11">
        <f t="shared" si="14"/>
        <v>2.9208301306687251E-2</v>
      </c>
    </row>
    <row r="177" spans="1:35" x14ac:dyDescent="0.25">
      <c r="A177" t="s">
        <v>32</v>
      </c>
      <c r="B177">
        <v>2017</v>
      </c>
      <c r="C177">
        <v>6</v>
      </c>
      <c r="D177" s="13">
        <f t="shared" si="10"/>
        <v>42887</v>
      </c>
      <c r="E177">
        <v>132.9</v>
      </c>
      <c r="F177">
        <v>148.69999999999999</v>
      </c>
      <c r="G177">
        <v>128.30000000000001</v>
      </c>
      <c r="H177">
        <v>137.30000000000001</v>
      </c>
      <c r="I177">
        <v>113.5</v>
      </c>
      <c r="J177">
        <v>137.19999999999999</v>
      </c>
      <c r="K177">
        <v>142.19999999999999</v>
      </c>
      <c r="L177">
        <v>128.19999999999999</v>
      </c>
      <c r="M177">
        <v>120.9</v>
      </c>
      <c r="N177">
        <v>138.80000000000001</v>
      </c>
      <c r="O177">
        <v>124.2</v>
      </c>
      <c r="P177">
        <v>143.1</v>
      </c>
      <c r="Q177">
        <v>135.69999999999999</v>
      </c>
      <c r="R177" s="12">
        <f t="shared" si="11"/>
        <v>5.9303187546329347E-3</v>
      </c>
      <c r="S177">
        <v>148.6</v>
      </c>
      <c r="T177">
        <v>131.5</v>
      </c>
      <c r="U177">
        <v>123.2</v>
      </c>
      <c r="V177">
        <v>130.19999999999999</v>
      </c>
      <c r="W177">
        <v>131.4</v>
      </c>
      <c r="X177">
        <v>119</v>
      </c>
      <c r="Y177" s="12">
        <f t="shared" si="12"/>
        <v>-0.11721068249258168</v>
      </c>
      <c r="Z177">
        <v>126.8</v>
      </c>
      <c r="AA177">
        <v>123.8</v>
      </c>
      <c r="AB177" s="12">
        <f t="shared" si="13"/>
        <v>-5.7121096725057226E-2</v>
      </c>
      <c r="AC177">
        <v>113.9</v>
      </c>
      <c r="AD177">
        <v>122.9</v>
      </c>
      <c r="AE177">
        <v>134.30000000000001</v>
      </c>
      <c r="AF177">
        <v>122.5</v>
      </c>
      <c r="AG177">
        <v>122.7</v>
      </c>
      <c r="AH177">
        <v>129.9</v>
      </c>
      <c r="AI177" s="11">
        <f t="shared" si="14"/>
        <v>-2.9873039581777446E-2</v>
      </c>
    </row>
    <row r="178" spans="1:35" x14ac:dyDescent="0.25">
      <c r="A178" t="s">
        <v>33</v>
      </c>
      <c r="B178">
        <v>2017</v>
      </c>
      <c r="C178">
        <v>6</v>
      </c>
      <c r="D178" s="13">
        <f t="shared" si="10"/>
        <v>42887</v>
      </c>
      <c r="E178">
        <v>133.30000000000001</v>
      </c>
      <c r="F178">
        <v>145.5</v>
      </c>
      <c r="G178">
        <v>128.1</v>
      </c>
      <c r="H178">
        <v>138.1</v>
      </c>
      <c r="I178">
        <v>118.2</v>
      </c>
      <c r="J178">
        <v>139.19999999999999</v>
      </c>
      <c r="K178">
        <v>133.30000000000001</v>
      </c>
      <c r="L178">
        <v>136.19999999999999</v>
      </c>
      <c r="M178">
        <v>119.6</v>
      </c>
      <c r="N178">
        <v>135.30000000000001</v>
      </c>
      <c r="O178">
        <v>127.8</v>
      </c>
      <c r="P178">
        <v>144.9</v>
      </c>
      <c r="Q178">
        <v>135.19999999999999</v>
      </c>
      <c r="R178" s="12">
        <f t="shared" si="11"/>
        <v>-3.6845983787767139E-3</v>
      </c>
      <c r="S178">
        <v>146.5</v>
      </c>
      <c r="T178">
        <v>138.5</v>
      </c>
      <c r="U178">
        <v>131.69999999999999</v>
      </c>
      <c r="V178">
        <v>137.5</v>
      </c>
      <c r="W178">
        <v>131.4</v>
      </c>
      <c r="X178">
        <v>128.80000000000001</v>
      </c>
      <c r="Y178" s="12">
        <f t="shared" si="12"/>
        <v>8.2352941176470684E-2</v>
      </c>
      <c r="Z178">
        <v>131.19999999999999</v>
      </c>
      <c r="AA178">
        <v>128.5</v>
      </c>
      <c r="AB178" s="12">
        <f t="shared" si="13"/>
        <v>3.7964458804523447E-2</v>
      </c>
      <c r="AC178">
        <v>116.5</v>
      </c>
      <c r="AD178">
        <v>125.9</v>
      </c>
      <c r="AE178">
        <v>135.4</v>
      </c>
      <c r="AF178">
        <v>123.4</v>
      </c>
      <c r="AG178">
        <v>125.5</v>
      </c>
      <c r="AH178">
        <v>132</v>
      </c>
      <c r="AI178" s="11">
        <f t="shared" si="14"/>
        <v>1.6166281755196261E-2</v>
      </c>
    </row>
    <row r="179" spans="1:35" x14ac:dyDescent="0.25">
      <c r="A179" t="s">
        <v>30</v>
      </c>
      <c r="B179">
        <v>2018</v>
      </c>
      <c r="C179">
        <v>6</v>
      </c>
      <c r="D179" s="13">
        <f t="shared" si="10"/>
        <v>43252</v>
      </c>
      <c r="E179">
        <v>137.6</v>
      </c>
      <c r="F179">
        <v>148.1</v>
      </c>
      <c r="G179">
        <v>136.69999999999999</v>
      </c>
      <c r="H179">
        <v>143.19999999999999</v>
      </c>
      <c r="I179">
        <v>124</v>
      </c>
      <c r="J179">
        <v>154.1</v>
      </c>
      <c r="K179">
        <v>143.5</v>
      </c>
      <c r="L179">
        <v>126</v>
      </c>
      <c r="M179">
        <v>112.4</v>
      </c>
      <c r="N179">
        <v>137.6</v>
      </c>
      <c r="O179">
        <v>132.80000000000001</v>
      </c>
      <c r="P179">
        <v>154.30000000000001</v>
      </c>
      <c r="Q179">
        <v>140</v>
      </c>
      <c r="R179" s="12">
        <f t="shared" si="11"/>
        <v>3.5502958579881741E-2</v>
      </c>
      <c r="S179">
        <v>157.30000000000001</v>
      </c>
      <c r="T179">
        <v>151.30000000000001</v>
      </c>
      <c r="U179">
        <v>144.69999999999999</v>
      </c>
      <c r="V179">
        <v>150.30000000000001</v>
      </c>
      <c r="W179" t="s">
        <v>31</v>
      </c>
      <c r="X179">
        <v>145.1</v>
      </c>
      <c r="Y179" s="12">
        <f t="shared" si="12"/>
        <v>0.12655279503105576</v>
      </c>
      <c r="Z179">
        <v>142.19999999999999</v>
      </c>
      <c r="AA179">
        <v>138.4</v>
      </c>
      <c r="AB179" s="12">
        <f t="shared" si="13"/>
        <v>7.7042801556420279E-2</v>
      </c>
      <c r="AC179">
        <v>127.4</v>
      </c>
      <c r="AD179">
        <v>137.80000000000001</v>
      </c>
      <c r="AE179">
        <v>145.1</v>
      </c>
      <c r="AF179">
        <v>131.4</v>
      </c>
      <c r="AG179">
        <v>135.6</v>
      </c>
      <c r="AH179">
        <v>140.5</v>
      </c>
      <c r="AI179" s="11">
        <f t="shared" si="14"/>
        <v>6.4393939393939392E-2</v>
      </c>
    </row>
    <row r="180" spans="1:35" x14ac:dyDescent="0.25">
      <c r="A180" t="s">
        <v>32</v>
      </c>
      <c r="B180">
        <v>2018</v>
      </c>
      <c r="C180">
        <v>6</v>
      </c>
      <c r="D180" s="13">
        <f t="shared" si="10"/>
        <v>43252</v>
      </c>
      <c r="E180">
        <v>135.30000000000001</v>
      </c>
      <c r="F180">
        <v>149.69999999999999</v>
      </c>
      <c r="G180">
        <v>133.9</v>
      </c>
      <c r="H180">
        <v>140.80000000000001</v>
      </c>
      <c r="I180">
        <v>116.6</v>
      </c>
      <c r="J180">
        <v>152.19999999999999</v>
      </c>
      <c r="K180">
        <v>144</v>
      </c>
      <c r="L180">
        <v>112.3</v>
      </c>
      <c r="M180">
        <v>108.4</v>
      </c>
      <c r="N180">
        <v>140</v>
      </c>
      <c r="O180">
        <v>126.7</v>
      </c>
      <c r="P180">
        <v>149</v>
      </c>
      <c r="Q180">
        <v>138.4</v>
      </c>
      <c r="R180" s="12">
        <f t="shared" si="11"/>
        <v>-1.1428571428571389E-2</v>
      </c>
      <c r="S180">
        <v>161</v>
      </c>
      <c r="T180">
        <v>138.9</v>
      </c>
      <c r="U180">
        <v>128.69999999999999</v>
      </c>
      <c r="V180">
        <v>137.4</v>
      </c>
      <c r="W180">
        <v>142.5</v>
      </c>
      <c r="X180">
        <v>126.5</v>
      </c>
      <c r="Y180" s="12">
        <f t="shared" si="12"/>
        <v>-0.12818745692625771</v>
      </c>
      <c r="Z180">
        <v>133.1</v>
      </c>
      <c r="AA180">
        <v>132.6</v>
      </c>
      <c r="AB180" s="12">
        <f t="shared" si="13"/>
        <v>-4.1907514450867135E-2</v>
      </c>
      <c r="AC180">
        <v>120.4</v>
      </c>
      <c r="AD180">
        <v>128.5</v>
      </c>
      <c r="AE180">
        <v>141.19999999999999</v>
      </c>
      <c r="AF180">
        <v>128.19999999999999</v>
      </c>
      <c r="AG180">
        <v>129.5</v>
      </c>
      <c r="AH180">
        <v>136.19999999999999</v>
      </c>
      <c r="AI180" s="11">
        <f t="shared" si="14"/>
        <v>-3.0604982206405774E-2</v>
      </c>
    </row>
    <row r="181" spans="1:35" x14ac:dyDescent="0.25">
      <c r="A181" t="s">
        <v>33</v>
      </c>
      <c r="B181">
        <v>2018</v>
      </c>
      <c r="C181">
        <v>6</v>
      </c>
      <c r="D181" s="13">
        <f t="shared" si="10"/>
        <v>43252</v>
      </c>
      <c r="E181">
        <v>136.9</v>
      </c>
      <c r="F181">
        <v>148.69999999999999</v>
      </c>
      <c r="G181">
        <v>135.6</v>
      </c>
      <c r="H181">
        <v>142.30000000000001</v>
      </c>
      <c r="I181">
        <v>121.3</v>
      </c>
      <c r="J181">
        <v>153.19999999999999</v>
      </c>
      <c r="K181">
        <v>143.69999999999999</v>
      </c>
      <c r="L181">
        <v>121.4</v>
      </c>
      <c r="M181">
        <v>111.1</v>
      </c>
      <c r="N181">
        <v>138.4</v>
      </c>
      <c r="O181">
        <v>130.30000000000001</v>
      </c>
      <c r="P181">
        <v>151.80000000000001</v>
      </c>
      <c r="Q181">
        <v>139.4</v>
      </c>
      <c r="R181" s="12">
        <f t="shared" si="11"/>
        <v>7.2254335260115606E-3</v>
      </c>
      <c r="S181">
        <v>158.30000000000001</v>
      </c>
      <c r="T181">
        <v>146.4</v>
      </c>
      <c r="U181">
        <v>138.1</v>
      </c>
      <c r="V181">
        <v>145.19999999999999</v>
      </c>
      <c r="W181">
        <v>142.5</v>
      </c>
      <c r="X181">
        <v>138.1</v>
      </c>
      <c r="Y181" s="12">
        <f t="shared" si="12"/>
        <v>9.169960474308296E-2</v>
      </c>
      <c r="Z181">
        <v>137.9</v>
      </c>
      <c r="AA181">
        <v>136.19999999999999</v>
      </c>
      <c r="AB181" s="12">
        <f t="shared" si="13"/>
        <v>2.7149321266968285E-2</v>
      </c>
      <c r="AC181">
        <v>123.7</v>
      </c>
      <c r="AD181">
        <v>132.6</v>
      </c>
      <c r="AE181">
        <v>142.80000000000001</v>
      </c>
      <c r="AF181">
        <v>130.1</v>
      </c>
      <c r="AG181">
        <v>132.6</v>
      </c>
      <c r="AH181">
        <v>138.5</v>
      </c>
      <c r="AI181" s="11">
        <f t="shared" si="14"/>
        <v>1.688693098384737E-2</v>
      </c>
    </row>
    <row r="182" spans="1:35" x14ac:dyDescent="0.25">
      <c r="A182" t="s">
        <v>30</v>
      </c>
      <c r="B182">
        <v>2019</v>
      </c>
      <c r="C182">
        <v>6</v>
      </c>
      <c r="D182" s="13">
        <f t="shared" si="10"/>
        <v>43617</v>
      </c>
      <c r="E182">
        <v>137.80000000000001</v>
      </c>
      <c r="F182">
        <v>163.5</v>
      </c>
      <c r="G182">
        <v>136.19999999999999</v>
      </c>
      <c r="H182">
        <v>143.19999999999999</v>
      </c>
      <c r="I182">
        <v>124.3</v>
      </c>
      <c r="J182">
        <v>143.30000000000001</v>
      </c>
      <c r="K182">
        <v>140.6</v>
      </c>
      <c r="L182">
        <v>128.69999999999999</v>
      </c>
      <c r="M182">
        <v>110.6</v>
      </c>
      <c r="N182">
        <v>140.4</v>
      </c>
      <c r="O182">
        <v>138</v>
      </c>
      <c r="P182">
        <v>156.6</v>
      </c>
      <c r="Q182">
        <v>141</v>
      </c>
      <c r="R182" s="12">
        <f t="shared" si="11"/>
        <v>1.1477761836441853E-2</v>
      </c>
      <c r="S182">
        <v>164.2</v>
      </c>
      <c r="T182">
        <v>151.4</v>
      </c>
      <c r="U182">
        <v>146.5</v>
      </c>
      <c r="V182">
        <v>150.69999999999999</v>
      </c>
      <c r="W182" t="s">
        <v>31</v>
      </c>
      <c r="X182">
        <v>147.80000000000001</v>
      </c>
      <c r="Y182" s="12">
        <f t="shared" si="12"/>
        <v>7.0238957277335395E-2</v>
      </c>
      <c r="Z182">
        <v>149.6</v>
      </c>
      <c r="AA182">
        <v>151.69999999999999</v>
      </c>
      <c r="AB182" s="12">
        <f t="shared" si="13"/>
        <v>0.11380323054331866</v>
      </c>
      <c r="AC182">
        <v>130.19999999999999</v>
      </c>
      <c r="AD182">
        <v>146.4</v>
      </c>
      <c r="AE182">
        <v>157.69999999999999</v>
      </c>
      <c r="AF182">
        <v>134.80000000000001</v>
      </c>
      <c r="AG182">
        <v>143.30000000000001</v>
      </c>
      <c r="AH182">
        <v>143.6</v>
      </c>
      <c r="AI182" s="11">
        <f t="shared" si="14"/>
        <v>3.6823104693140755E-2</v>
      </c>
    </row>
    <row r="183" spans="1:35" x14ac:dyDescent="0.25">
      <c r="A183" t="s">
        <v>32</v>
      </c>
      <c r="B183">
        <v>2019</v>
      </c>
      <c r="C183">
        <v>6</v>
      </c>
      <c r="D183" s="13">
        <f t="shared" si="10"/>
        <v>43617</v>
      </c>
      <c r="E183">
        <v>140.69999999999999</v>
      </c>
      <c r="F183">
        <v>159.6</v>
      </c>
      <c r="G183">
        <v>140.4</v>
      </c>
      <c r="H183">
        <v>143.4</v>
      </c>
      <c r="I183">
        <v>118.6</v>
      </c>
      <c r="J183">
        <v>150.9</v>
      </c>
      <c r="K183">
        <v>169.8</v>
      </c>
      <c r="L183">
        <v>127.4</v>
      </c>
      <c r="M183">
        <v>111.8</v>
      </c>
      <c r="N183">
        <v>141</v>
      </c>
      <c r="O183">
        <v>129</v>
      </c>
      <c r="P183">
        <v>155.1</v>
      </c>
      <c r="Q183">
        <v>145.6</v>
      </c>
      <c r="R183" s="12">
        <f t="shared" si="11"/>
        <v>3.2624113475177262E-2</v>
      </c>
      <c r="S183">
        <v>166.7</v>
      </c>
      <c r="T183">
        <v>144.30000000000001</v>
      </c>
      <c r="U183">
        <v>131.69999999999999</v>
      </c>
      <c r="V183">
        <v>142.4</v>
      </c>
      <c r="W183">
        <v>149.4</v>
      </c>
      <c r="X183">
        <v>130.5</v>
      </c>
      <c r="Y183" s="12">
        <f t="shared" si="12"/>
        <v>-0.11705006765899871</v>
      </c>
      <c r="Z183">
        <v>137.4</v>
      </c>
      <c r="AA183">
        <v>140.30000000000001</v>
      </c>
      <c r="AB183" s="12">
        <f t="shared" si="13"/>
        <v>-7.5148319050757931E-2</v>
      </c>
      <c r="AC183">
        <v>119.6</v>
      </c>
      <c r="AD183">
        <v>134.30000000000001</v>
      </c>
      <c r="AE183">
        <v>148.9</v>
      </c>
      <c r="AF183">
        <v>133.69999999999999</v>
      </c>
      <c r="AG183">
        <v>133.6</v>
      </c>
      <c r="AH183">
        <v>142.1</v>
      </c>
      <c r="AI183" s="11">
        <f t="shared" si="14"/>
        <v>-1.0445682451253482E-2</v>
      </c>
    </row>
    <row r="184" spans="1:35" x14ac:dyDescent="0.25">
      <c r="A184" t="s">
        <v>33</v>
      </c>
      <c r="B184">
        <v>2019</v>
      </c>
      <c r="C184">
        <v>6</v>
      </c>
      <c r="D184" s="13">
        <f t="shared" si="10"/>
        <v>43617</v>
      </c>
      <c r="E184">
        <v>138.69999999999999</v>
      </c>
      <c r="F184">
        <v>162.1</v>
      </c>
      <c r="G184">
        <v>137.80000000000001</v>
      </c>
      <c r="H184">
        <v>143.30000000000001</v>
      </c>
      <c r="I184">
        <v>122.2</v>
      </c>
      <c r="J184">
        <v>146.80000000000001</v>
      </c>
      <c r="K184">
        <v>150.5</v>
      </c>
      <c r="L184">
        <v>128.30000000000001</v>
      </c>
      <c r="M184">
        <v>111</v>
      </c>
      <c r="N184">
        <v>140.6</v>
      </c>
      <c r="O184">
        <v>134.19999999999999</v>
      </c>
      <c r="P184">
        <v>155.9</v>
      </c>
      <c r="Q184">
        <v>142.69999999999999</v>
      </c>
      <c r="R184" s="12">
        <f t="shared" si="11"/>
        <v>-1.9917582417582458E-2</v>
      </c>
      <c r="S184">
        <v>164.9</v>
      </c>
      <c r="T184">
        <v>148.6</v>
      </c>
      <c r="U184">
        <v>140.4</v>
      </c>
      <c r="V184">
        <v>147.4</v>
      </c>
      <c r="W184">
        <v>149.4</v>
      </c>
      <c r="X184">
        <v>141.19999999999999</v>
      </c>
      <c r="Y184" s="12">
        <f t="shared" si="12"/>
        <v>8.1992337164750864E-2</v>
      </c>
      <c r="Z184">
        <v>143.80000000000001</v>
      </c>
      <c r="AA184">
        <v>147.4</v>
      </c>
      <c r="AB184" s="12">
        <f t="shared" si="13"/>
        <v>5.0605844618674227E-2</v>
      </c>
      <c r="AC184">
        <v>124.6</v>
      </c>
      <c r="AD184">
        <v>139.6</v>
      </c>
      <c r="AE184">
        <v>152.5</v>
      </c>
      <c r="AF184">
        <v>134.30000000000001</v>
      </c>
      <c r="AG184">
        <v>138.6</v>
      </c>
      <c r="AH184">
        <v>142.9</v>
      </c>
      <c r="AI184" s="11">
        <f t="shared" si="14"/>
        <v>5.6298381421534937E-3</v>
      </c>
    </row>
    <row r="185" spans="1:35" x14ac:dyDescent="0.25">
      <c r="A185" t="s">
        <v>30</v>
      </c>
      <c r="B185">
        <v>2020</v>
      </c>
      <c r="C185">
        <v>6</v>
      </c>
      <c r="D185" s="13">
        <f t="shared" si="10"/>
        <v>43983</v>
      </c>
      <c r="E185">
        <v>148.19999999999999</v>
      </c>
      <c r="F185">
        <v>190.3</v>
      </c>
      <c r="G185">
        <v>149.4</v>
      </c>
      <c r="H185">
        <v>153.30000000000001</v>
      </c>
      <c r="I185">
        <v>138.19999999999999</v>
      </c>
      <c r="J185">
        <v>143.19999999999999</v>
      </c>
      <c r="K185">
        <v>148.9</v>
      </c>
      <c r="L185">
        <v>150.30000000000001</v>
      </c>
      <c r="M185">
        <v>113.2</v>
      </c>
      <c r="N185">
        <v>159.80000000000001</v>
      </c>
      <c r="O185">
        <v>142.1</v>
      </c>
      <c r="P185">
        <v>161.80000000000001</v>
      </c>
      <c r="Q185">
        <v>152.30000000000001</v>
      </c>
      <c r="R185" s="12">
        <f t="shared" si="11"/>
        <v>6.7274001401541855E-2</v>
      </c>
      <c r="S185">
        <v>182.4</v>
      </c>
      <c r="T185">
        <v>154.69999999999999</v>
      </c>
      <c r="U185">
        <v>150</v>
      </c>
      <c r="V185">
        <v>154.1</v>
      </c>
      <c r="W185" t="s">
        <v>31</v>
      </c>
      <c r="X185">
        <v>144.9</v>
      </c>
      <c r="Y185" s="12">
        <f t="shared" si="12"/>
        <v>2.6203966005665845E-2</v>
      </c>
      <c r="Z185">
        <v>151.69999999999999</v>
      </c>
      <c r="AA185">
        <v>158.19999999999999</v>
      </c>
      <c r="AB185" s="12">
        <f t="shared" si="13"/>
        <v>7.3270013568520906E-2</v>
      </c>
      <c r="AC185">
        <v>141.4</v>
      </c>
      <c r="AD185">
        <v>153.19999999999999</v>
      </c>
      <c r="AE185">
        <v>161.80000000000001</v>
      </c>
      <c r="AF185">
        <v>151.19999999999999</v>
      </c>
      <c r="AG185">
        <v>151.69999999999999</v>
      </c>
      <c r="AH185">
        <v>152.69999999999999</v>
      </c>
      <c r="AI185" s="11">
        <f t="shared" si="14"/>
        <v>6.8579426172148239E-2</v>
      </c>
    </row>
    <row r="186" spans="1:35" x14ac:dyDescent="0.25">
      <c r="A186" t="s">
        <v>32</v>
      </c>
      <c r="B186">
        <v>2020</v>
      </c>
      <c r="C186">
        <v>6</v>
      </c>
      <c r="D186" s="13">
        <f t="shared" si="10"/>
        <v>43983</v>
      </c>
      <c r="E186">
        <v>152.69999999999999</v>
      </c>
      <c r="F186">
        <v>197</v>
      </c>
      <c r="G186">
        <v>154.6</v>
      </c>
      <c r="H186">
        <v>153.4</v>
      </c>
      <c r="I186">
        <v>132.9</v>
      </c>
      <c r="J186">
        <v>151.80000000000001</v>
      </c>
      <c r="K186">
        <v>171.2</v>
      </c>
      <c r="L186">
        <v>152</v>
      </c>
      <c r="M186">
        <v>116.3</v>
      </c>
      <c r="N186">
        <v>158.80000000000001</v>
      </c>
      <c r="O186">
        <v>135.6</v>
      </c>
      <c r="P186">
        <v>161.69999999999999</v>
      </c>
      <c r="Q186">
        <v>157</v>
      </c>
      <c r="R186" s="12">
        <f t="shared" si="11"/>
        <v>3.0860144451739908E-2</v>
      </c>
      <c r="S186">
        <v>186.7</v>
      </c>
      <c r="T186">
        <v>149.1</v>
      </c>
      <c r="U186">
        <v>136.6</v>
      </c>
      <c r="V186">
        <v>147.19999999999999</v>
      </c>
      <c r="W186">
        <v>154.69999999999999</v>
      </c>
      <c r="X186">
        <v>137.1</v>
      </c>
      <c r="Y186" s="12">
        <f t="shared" si="12"/>
        <v>-5.38302277432713E-2</v>
      </c>
      <c r="Z186">
        <v>140.4</v>
      </c>
      <c r="AA186">
        <v>148.1</v>
      </c>
      <c r="AB186" s="12">
        <f t="shared" si="13"/>
        <v>-6.3843236409608053E-2</v>
      </c>
      <c r="AC186">
        <v>129.30000000000001</v>
      </c>
      <c r="AD186">
        <v>144.5</v>
      </c>
      <c r="AE186">
        <v>152.5</v>
      </c>
      <c r="AF186">
        <v>152.19999999999999</v>
      </c>
      <c r="AG186">
        <v>142</v>
      </c>
      <c r="AH186">
        <v>150.80000000000001</v>
      </c>
      <c r="AI186" s="11">
        <f t="shared" si="14"/>
        <v>-1.2442698100851194E-2</v>
      </c>
    </row>
    <row r="187" spans="1:35" x14ac:dyDescent="0.25">
      <c r="A187" t="s">
        <v>33</v>
      </c>
      <c r="B187">
        <v>2020</v>
      </c>
      <c r="C187">
        <v>6</v>
      </c>
      <c r="D187" s="13">
        <f t="shared" si="10"/>
        <v>43983</v>
      </c>
      <c r="E187">
        <v>149.6</v>
      </c>
      <c r="F187">
        <v>192.7</v>
      </c>
      <c r="G187">
        <v>151.4</v>
      </c>
      <c r="H187">
        <v>153.30000000000001</v>
      </c>
      <c r="I187">
        <v>136.30000000000001</v>
      </c>
      <c r="J187">
        <v>147.19999999999999</v>
      </c>
      <c r="K187">
        <v>156.5</v>
      </c>
      <c r="L187">
        <v>150.9</v>
      </c>
      <c r="M187">
        <v>114.2</v>
      </c>
      <c r="N187">
        <v>159.5</v>
      </c>
      <c r="O187">
        <v>139.4</v>
      </c>
      <c r="P187">
        <v>161.80000000000001</v>
      </c>
      <c r="Q187">
        <v>154</v>
      </c>
      <c r="R187" s="12">
        <f t="shared" si="11"/>
        <v>-1.9108280254777069E-2</v>
      </c>
      <c r="S187">
        <v>183.5</v>
      </c>
      <c r="T187">
        <v>152.5</v>
      </c>
      <c r="U187">
        <v>144.4</v>
      </c>
      <c r="V187">
        <v>151.4</v>
      </c>
      <c r="W187">
        <v>154.69999999999999</v>
      </c>
      <c r="X187">
        <v>141.9</v>
      </c>
      <c r="Y187" s="12">
        <f t="shared" si="12"/>
        <v>3.5010940919037281E-2</v>
      </c>
      <c r="Z187">
        <v>146.4</v>
      </c>
      <c r="AA187">
        <v>154.4</v>
      </c>
      <c r="AB187" s="12">
        <f t="shared" si="13"/>
        <v>4.2538825118163481E-2</v>
      </c>
      <c r="AC187">
        <v>135</v>
      </c>
      <c r="AD187">
        <v>148.30000000000001</v>
      </c>
      <c r="AE187">
        <v>156.4</v>
      </c>
      <c r="AF187">
        <v>151.6</v>
      </c>
      <c r="AG187">
        <v>147</v>
      </c>
      <c r="AH187">
        <v>151.80000000000001</v>
      </c>
      <c r="AI187" s="11">
        <f t="shared" si="14"/>
        <v>6.6312997347480101E-3</v>
      </c>
    </row>
    <row r="188" spans="1:35" x14ac:dyDescent="0.25">
      <c r="A188" t="s">
        <v>30</v>
      </c>
      <c r="B188">
        <v>2021</v>
      </c>
      <c r="C188">
        <v>6</v>
      </c>
      <c r="D188" s="13">
        <f t="shared" si="10"/>
        <v>44348</v>
      </c>
      <c r="E188">
        <v>145.6</v>
      </c>
      <c r="F188">
        <v>200.1</v>
      </c>
      <c r="G188">
        <v>179.3</v>
      </c>
      <c r="H188">
        <v>156.1</v>
      </c>
      <c r="I188">
        <v>190.4</v>
      </c>
      <c r="J188">
        <v>158.6</v>
      </c>
      <c r="K188">
        <v>144.69999999999999</v>
      </c>
      <c r="L188">
        <v>165.5</v>
      </c>
      <c r="M188">
        <v>114.6</v>
      </c>
      <c r="N188">
        <v>170</v>
      </c>
      <c r="O188">
        <v>165.5</v>
      </c>
      <c r="P188">
        <v>171.7</v>
      </c>
      <c r="Q188">
        <v>160.5</v>
      </c>
      <c r="R188" s="12">
        <f t="shared" si="11"/>
        <v>4.2207792207792208E-2</v>
      </c>
      <c r="S188">
        <v>189.1</v>
      </c>
      <c r="T188">
        <v>165.3</v>
      </c>
      <c r="U188">
        <v>159.9</v>
      </c>
      <c r="V188">
        <v>164.6</v>
      </c>
      <c r="W188" t="s">
        <v>31</v>
      </c>
      <c r="X188">
        <v>162.1</v>
      </c>
      <c r="Y188" s="12">
        <f t="shared" si="12"/>
        <v>0.14235377026074691</v>
      </c>
      <c r="Z188">
        <v>159.19999999999999</v>
      </c>
      <c r="AA188">
        <v>169.7</v>
      </c>
      <c r="AB188" s="12">
        <f t="shared" si="13"/>
        <v>9.9093264248704543E-2</v>
      </c>
      <c r="AC188">
        <v>154.19999999999999</v>
      </c>
      <c r="AD188">
        <v>160.4</v>
      </c>
      <c r="AE188">
        <v>166.8</v>
      </c>
      <c r="AF188">
        <v>159.4</v>
      </c>
      <c r="AG188">
        <v>161.5</v>
      </c>
      <c r="AH188">
        <v>162.1</v>
      </c>
      <c r="AI188" s="11">
        <f t="shared" si="14"/>
        <v>6.785243741765469E-2</v>
      </c>
    </row>
    <row r="189" spans="1:35" x14ac:dyDescent="0.25">
      <c r="A189" t="s">
        <v>32</v>
      </c>
      <c r="B189">
        <v>2021</v>
      </c>
      <c r="C189">
        <v>6</v>
      </c>
      <c r="D189" s="13">
        <f t="shared" si="10"/>
        <v>44348</v>
      </c>
      <c r="E189">
        <v>149.19999999999999</v>
      </c>
      <c r="F189">
        <v>205.5</v>
      </c>
      <c r="G189">
        <v>182.8</v>
      </c>
      <c r="H189">
        <v>156.5</v>
      </c>
      <c r="I189">
        <v>172.2</v>
      </c>
      <c r="J189">
        <v>171.5</v>
      </c>
      <c r="K189">
        <v>176.2</v>
      </c>
      <c r="L189">
        <v>166.9</v>
      </c>
      <c r="M189">
        <v>116.1</v>
      </c>
      <c r="N189">
        <v>165.5</v>
      </c>
      <c r="O189">
        <v>152.30000000000001</v>
      </c>
      <c r="P189">
        <v>173.3</v>
      </c>
      <c r="Q189">
        <v>166.2</v>
      </c>
      <c r="R189" s="12">
        <f t="shared" si="11"/>
        <v>3.5514018691588711E-2</v>
      </c>
      <c r="S189">
        <v>195.6</v>
      </c>
      <c r="T189">
        <v>157.30000000000001</v>
      </c>
      <c r="U189">
        <v>140.5</v>
      </c>
      <c r="V189">
        <v>154.80000000000001</v>
      </c>
      <c r="W189">
        <v>160.5</v>
      </c>
      <c r="X189">
        <v>156.1</v>
      </c>
      <c r="Y189" s="12">
        <f t="shared" si="12"/>
        <v>-3.701418877236274E-2</v>
      </c>
      <c r="Z189">
        <v>149.80000000000001</v>
      </c>
      <c r="AA189">
        <v>160.80000000000001</v>
      </c>
      <c r="AB189" s="12">
        <f t="shared" si="13"/>
        <v>-5.2445492044784783E-2</v>
      </c>
      <c r="AC189">
        <v>147.5</v>
      </c>
      <c r="AD189">
        <v>150.69999999999999</v>
      </c>
      <c r="AE189">
        <v>158.1</v>
      </c>
      <c r="AF189">
        <v>158</v>
      </c>
      <c r="AG189">
        <v>153.4</v>
      </c>
      <c r="AH189">
        <v>160.4</v>
      </c>
      <c r="AI189" s="11">
        <f t="shared" si="14"/>
        <v>-1.0487353485502707E-2</v>
      </c>
    </row>
    <row r="190" spans="1:35" x14ac:dyDescent="0.25">
      <c r="A190" t="s">
        <v>33</v>
      </c>
      <c r="B190">
        <v>2021</v>
      </c>
      <c r="C190">
        <v>6</v>
      </c>
      <c r="D190" s="13">
        <f t="shared" si="10"/>
        <v>44348</v>
      </c>
      <c r="E190">
        <v>146.69999999999999</v>
      </c>
      <c r="F190">
        <v>202</v>
      </c>
      <c r="G190">
        <v>180.7</v>
      </c>
      <c r="H190">
        <v>156.19999999999999</v>
      </c>
      <c r="I190">
        <v>183.7</v>
      </c>
      <c r="J190">
        <v>164.6</v>
      </c>
      <c r="K190">
        <v>155.4</v>
      </c>
      <c r="L190">
        <v>166</v>
      </c>
      <c r="M190">
        <v>115.1</v>
      </c>
      <c r="N190">
        <v>168.5</v>
      </c>
      <c r="O190">
        <v>160</v>
      </c>
      <c r="P190">
        <v>172.4</v>
      </c>
      <c r="Q190">
        <v>162.6</v>
      </c>
      <c r="R190" s="12">
        <f t="shared" si="11"/>
        <v>-2.1660649819494553E-2</v>
      </c>
      <c r="S190">
        <v>190.8</v>
      </c>
      <c r="T190">
        <v>162.19999999999999</v>
      </c>
      <c r="U190">
        <v>151.80000000000001</v>
      </c>
      <c r="V190">
        <v>160.69999999999999</v>
      </c>
      <c r="W190">
        <v>160.5</v>
      </c>
      <c r="X190">
        <v>159.80000000000001</v>
      </c>
      <c r="Y190" s="12">
        <f t="shared" si="12"/>
        <v>2.3702754644458791E-2</v>
      </c>
      <c r="Z190">
        <v>154.80000000000001</v>
      </c>
      <c r="AA190">
        <v>166.3</v>
      </c>
      <c r="AB190" s="12">
        <f t="shared" si="13"/>
        <v>3.4203980099502485E-2</v>
      </c>
      <c r="AC190">
        <v>150.69999999999999</v>
      </c>
      <c r="AD190">
        <v>154.9</v>
      </c>
      <c r="AE190">
        <v>161.69999999999999</v>
      </c>
      <c r="AF190">
        <v>158.80000000000001</v>
      </c>
      <c r="AG190">
        <v>157.6</v>
      </c>
      <c r="AH190">
        <v>161.30000000000001</v>
      </c>
      <c r="AI190" s="11">
        <f t="shared" si="14"/>
        <v>5.6109725685785893E-3</v>
      </c>
    </row>
    <row r="191" spans="1:35" x14ac:dyDescent="0.25">
      <c r="A191" t="s">
        <v>30</v>
      </c>
      <c r="B191">
        <v>2022</v>
      </c>
      <c r="C191">
        <v>6</v>
      </c>
      <c r="D191" s="13">
        <f t="shared" si="10"/>
        <v>44713</v>
      </c>
      <c r="E191">
        <v>153.80000000000001</v>
      </c>
      <c r="F191">
        <v>217.2</v>
      </c>
      <c r="G191">
        <v>169.6</v>
      </c>
      <c r="H191">
        <v>165.4</v>
      </c>
      <c r="I191">
        <v>208.1</v>
      </c>
      <c r="J191">
        <v>165.8</v>
      </c>
      <c r="K191">
        <v>167.3</v>
      </c>
      <c r="L191">
        <v>164.6</v>
      </c>
      <c r="M191">
        <v>119.1</v>
      </c>
      <c r="N191">
        <v>188.9</v>
      </c>
      <c r="O191">
        <v>174.2</v>
      </c>
      <c r="P191">
        <v>181.9</v>
      </c>
      <c r="Q191">
        <v>172.4</v>
      </c>
      <c r="R191" s="12">
        <f t="shared" si="11"/>
        <v>6.0270602706027132E-2</v>
      </c>
      <c r="S191">
        <v>192.9</v>
      </c>
      <c r="T191">
        <v>180.7</v>
      </c>
      <c r="U191">
        <v>178.7</v>
      </c>
      <c r="V191">
        <v>180.4</v>
      </c>
      <c r="W191" t="s">
        <v>31</v>
      </c>
      <c r="X191">
        <v>176.7</v>
      </c>
      <c r="Y191" s="12">
        <f t="shared" si="12"/>
        <v>0.10575719649561938</v>
      </c>
      <c r="Z191">
        <v>170.3</v>
      </c>
      <c r="AA191">
        <v>178.2</v>
      </c>
      <c r="AB191" s="12">
        <f t="shared" si="13"/>
        <v>7.1557426337943333E-2</v>
      </c>
      <c r="AC191">
        <v>165.5</v>
      </c>
      <c r="AD191">
        <v>168</v>
      </c>
      <c r="AE191">
        <v>172.6</v>
      </c>
      <c r="AF191">
        <v>169.5</v>
      </c>
      <c r="AG191">
        <v>171</v>
      </c>
      <c r="AH191">
        <v>173.6</v>
      </c>
      <c r="AI191" s="11">
        <f t="shared" si="14"/>
        <v>7.6255424674519415E-2</v>
      </c>
    </row>
    <row r="192" spans="1:35" x14ac:dyDescent="0.25">
      <c r="A192" t="s">
        <v>32</v>
      </c>
      <c r="B192">
        <v>2022</v>
      </c>
      <c r="C192">
        <v>6</v>
      </c>
      <c r="D192" s="13">
        <f t="shared" si="10"/>
        <v>44713</v>
      </c>
      <c r="E192">
        <v>157.5</v>
      </c>
      <c r="F192">
        <v>223.4</v>
      </c>
      <c r="G192">
        <v>172.8</v>
      </c>
      <c r="H192">
        <v>166.4</v>
      </c>
      <c r="I192">
        <v>188.6</v>
      </c>
      <c r="J192">
        <v>174.1</v>
      </c>
      <c r="K192">
        <v>211.5</v>
      </c>
      <c r="L192">
        <v>163.6</v>
      </c>
      <c r="M192">
        <v>121.4</v>
      </c>
      <c r="N192">
        <v>183.5</v>
      </c>
      <c r="O192">
        <v>159.1</v>
      </c>
      <c r="P192">
        <v>186.3</v>
      </c>
      <c r="Q192">
        <v>179.3</v>
      </c>
      <c r="R192" s="12">
        <f t="shared" si="11"/>
        <v>4.0023201856148521E-2</v>
      </c>
      <c r="S192">
        <v>198.3</v>
      </c>
      <c r="T192">
        <v>171.6</v>
      </c>
      <c r="U192">
        <v>157.4</v>
      </c>
      <c r="V192">
        <v>169.4</v>
      </c>
      <c r="W192">
        <v>166.8</v>
      </c>
      <c r="X192">
        <v>174.9</v>
      </c>
      <c r="Y192" s="12">
        <f t="shared" si="12"/>
        <v>-1.0186757215619598E-2</v>
      </c>
      <c r="Z192">
        <v>162.1</v>
      </c>
      <c r="AA192">
        <v>170.9</v>
      </c>
      <c r="AB192" s="12">
        <f t="shared" si="13"/>
        <v>-4.0965207631874202E-2</v>
      </c>
      <c r="AC192">
        <v>157.19999999999999</v>
      </c>
      <c r="AD192">
        <v>164.1</v>
      </c>
      <c r="AE192">
        <v>166.5</v>
      </c>
      <c r="AF192">
        <v>169.2</v>
      </c>
      <c r="AG192">
        <v>163.80000000000001</v>
      </c>
      <c r="AH192">
        <v>171.4</v>
      </c>
      <c r="AI192" s="11">
        <f t="shared" si="14"/>
        <v>-1.2672811059907769E-2</v>
      </c>
    </row>
    <row r="193" spans="1:35" x14ac:dyDescent="0.25">
      <c r="A193" t="s">
        <v>33</v>
      </c>
      <c r="B193">
        <v>2022</v>
      </c>
      <c r="C193">
        <v>6</v>
      </c>
      <c r="D193" s="13">
        <f t="shared" si="10"/>
        <v>44713</v>
      </c>
      <c r="E193">
        <v>155</v>
      </c>
      <c r="F193">
        <v>219.4</v>
      </c>
      <c r="G193">
        <v>170.8</v>
      </c>
      <c r="H193">
        <v>165.8</v>
      </c>
      <c r="I193">
        <v>200.9</v>
      </c>
      <c r="J193">
        <v>169.7</v>
      </c>
      <c r="K193">
        <v>182.3</v>
      </c>
      <c r="L193">
        <v>164.3</v>
      </c>
      <c r="M193">
        <v>119.9</v>
      </c>
      <c r="N193">
        <v>187.1</v>
      </c>
      <c r="O193">
        <v>167.9</v>
      </c>
      <c r="P193">
        <v>183.9</v>
      </c>
      <c r="Q193">
        <v>174.9</v>
      </c>
      <c r="R193" s="12">
        <f t="shared" si="11"/>
        <v>-2.4539877300613529E-2</v>
      </c>
      <c r="S193">
        <v>194.3</v>
      </c>
      <c r="T193">
        <v>177.1</v>
      </c>
      <c r="U193">
        <v>169.9</v>
      </c>
      <c r="V193">
        <v>176</v>
      </c>
      <c r="W193">
        <v>166.8</v>
      </c>
      <c r="X193">
        <v>176</v>
      </c>
      <c r="Y193" s="12">
        <f t="shared" si="12"/>
        <v>6.2893081761005963E-3</v>
      </c>
      <c r="Z193">
        <v>166.4</v>
      </c>
      <c r="AA193">
        <v>175.4</v>
      </c>
      <c r="AB193" s="12">
        <f t="shared" si="13"/>
        <v>2.6331187829139846E-2</v>
      </c>
      <c r="AC193">
        <v>161.1</v>
      </c>
      <c r="AD193">
        <v>165.8</v>
      </c>
      <c r="AE193">
        <v>169</v>
      </c>
      <c r="AF193">
        <v>169.4</v>
      </c>
      <c r="AG193">
        <v>167.5</v>
      </c>
      <c r="AH193">
        <v>172.6</v>
      </c>
      <c r="AI193" s="11">
        <f t="shared" si="14"/>
        <v>7.0011668611434574E-3</v>
      </c>
    </row>
    <row r="194" spans="1:35" x14ac:dyDescent="0.25">
      <c r="A194" t="s">
        <v>30</v>
      </c>
      <c r="B194">
        <v>2013</v>
      </c>
      <c r="C194">
        <v>7</v>
      </c>
      <c r="D194" s="13">
        <f t="shared" si="10"/>
        <v>41456</v>
      </c>
      <c r="E194">
        <v>113.4</v>
      </c>
      <c r="F194">
        <v>114.9</v>
      </c>
      <c r="G194">
        <v>110.5</v>
      </c>
      <c r="H194">
        <v>109.3</v>
      </c>
      <c r="I194">
        <v>106.2</v>
      </c>
      <c r="J194">
        <v>110.3</v>
      </c>
      <c r="K194">
        <v>129.19999999999999</v>
      </c>
      <c r="L194">
        <v>107.1</v>
      </c>
      <c r="M194">
        <v>104.3</v>
      </c>
      <c r="N194">
        <v>106.4</v>
      </c>
      <c r="O194">
        <v>109.1</v>
      </c>
      <c r="P194">
        <v>112.1</v>
      </c>
      <c r="Q194">
        <v>113.1</v>
      </c>
      <c r="R194" s="12">
        <f t="shared" si="11"/>
        <v>-0.35334476843910811</v>
      </c>
      <c r="S194">
        <v>109.8</v>
      </c>
      <c r="T194">
        <v>110.5</v>
      </c>
      <c r="U194">
        <v>109.5</v>
      </c>
      <c r="V194">
        <v>110.3</v>
      </c>
      <c r="W194" t="s">
        <v>31</v>
      </c>
      <c r="X194">
        <v>109.5</v>
      </c>
      <c r="Y194" s="12">
        <f t="shared" si="12"/>
        <v>-0.37784090909090912</v>
      </c>
      <c r="Z194">
        <v>108.3</v>
      </c>
      <c r="AA194">
        <v>106.9</v>
      </c>
      <c r="AB194" s="12">
        <f t="shared" si="13"/>
        <v>-0.39053591790193842</v>
      </c>
      <c r="AC194">
        <v>106.8</v>
      </c>
      <c r="AD194">
        <v>106.4</v>
      </c>
      <c r="AE194">
        <v>107.8</v>
      </c>
      <c r="AF194">
        <v>102.5</v>
      </c>
      <c r="AG194">
        <v>106.5</v>
      </c>
      <c r="AH194">
        <v>110.7</v>
      </c>
      <c r="AI194" s="11">
        <f t="shared" si="14"/>
        <v>-0.35863267670915405</v>
      </c>
    </row>
    <row r="195" spans="1:35" x14ac:dyDescent="0.25">
      <c r="A195" t="s">
        <v>32</v>
      </c>
      <c r="B195">
        <v>2013</v>
      </c>
      <c r="C195">
        <v>7</v>
      </c>
      <c r="D195" s="13">
        <f t="shared" ref="D195:D258" si="15">DATE(B195,C195,1)</f>
        <v>41456</v>
      </c>
      <c r="E195">
        <v>117.8</v>
      </c>
      <c r="F195">
        <v>119.2</v>
      </c>
      <c r="G195">
        <v>114</v>
      </c>
      <c r="H195">
        <v>108.3</v>
      </c>
      <c r="I195">
        <v>101.1</v>
      </c>
      <c r="J195">
        <v>113.2</v>
      </c>
      <c r="K195">
        <v>160.9</v>
      </c>
      <c r="L195">
        <v>105.1</v>
      </c>
      <c r="M195">
        <v>101.3</v>
      </c>
      <c r="N195">
        <v>107.5</v>
      </c>
      <c r="O195">
        <v>110.4</v>
      </c>
      <c r="P195">
        <v>113.1</v>
      </c>
      <c r="Q195">
        <v>117.5</v>
      </c>
      <c r="R195" s="12">
        <f t="shared" ref="R195:R258" si="16">(Q195-Q194)/Q194</f>
        <v>3.8903625110521714E-2</v>
      </c>
      <c r="S195">
        <v>111.7</v>
      </c>
      <c r="T195">
        <v>109.8</v>
      </c>
      <c r="U195">
        <v>107.8</v>
      </c>
      <c r="V195">
        <v>109.5</v>
      </c>
      <c r="W195">
        <v>107.7</v>
      </c>
      <c r="X195">
        <v>108.6</v>
      </c>
      <c r="Y195" s="12">
        <f t="shared" ref="Y195:Y258" si="17">(X195-X194)/X194</f>
        <v>-8.2191780821918321E-3</v>
      </c>
      <c r="Z195">
        <v>108.1</v>
      </c>
      <c r="AA195">
        <v>107.1</v>
      </c>
      <c r="AB195" s="12">
        <f t="shared" ref="AB195:AB258" si="18">(AA195-AA194)/AA194</f>
        <v>1.8709073900840844E-3</v>
      </c>
      <c r="AC195">
        <v>107.3</v>
      </c>
      <c r="AD195">
        <v>105.9</v>
      </c>
      <c r="AE195">
        <v>110.1</v>
      </c>
      <c r="AF195">
        <v>103.2</v>
      </c>
      <c r="AG195">
        <v>107.3</v>
      </c>
      <c r="AH195">
        <v>111.4</v>
      </c>
      <c r="AI195" s="11">
        <f t="shared" si="14"/>
        <v>6.3233965672990318E-3</v>
      </c>
    </row>
    <row r="196" spans="1:35" x14ac:dyDescent="0.25">
      <c r="A196" t="s">
        <v>33</v>
      </c>
      <c r="B196">
        <v>2013</v>
      </c>
      <c r="C196">
        <v>7</v>
      </c>
      <c r="D196" s="13">
        <f t="shared" si="15"/>
        <v>41456</v>
      </c>
      <c r="E196">
        <v>114.8</v>
      </c>
      <c r="F196">
        <v>116.4</v>
      </c>
      <c r="G196">
        <v>111.9</v>
      </c>
      <c r="H196">
        <v>108.9</v>
      </c>
      <c r="I196">
        <v>104.3</v>
      </c>
      <c r="J196">
        <v>111.7</v>
      </c>
      <c r="K196">
        <v>140</v>
      </c>
      <c r="L196">
        <v>106.4</v>
      </c>
      <c r="M196">
        <v>103.3</v>
      </c>
      <c r="N196">
        <v>106.8</v>
      </c>
      <c r="O196">
        <v>109.6</v>
      </c>
      <c r="P196">
        <v>112.6</v>
      </c>
      <c r="Q196">
        <v>114.7</v>
      </c>
      <c r="R196" s="12">
        <f t="shared" si="16"/>
        <v>-2.382978723404253E-2</v>
      </c>
      <c r="S196">
        <v>110.3</v>
      </c>
      <c r="T196">
        <v>110.2</v>
      </c>
      <c r="U196">
        <v>108.8</v>
      </c>
      <c r="V196">
        <v>110</v>
      </c>
      <c r="W196">
        <v>107.7</v>
      </c>
      <c r="X196">
        <v>109.2</v>
      </c>
      <c r="Y196" s="12">
        <f t="shared" si="17"/>
        <v>5.5248618784531174E-3</v>
      </c>
      <c r="Z196">
        <v>108.2</v>
      </c>
      <c r="AA196">
        <v>107</v>
      </c>
      <c r="AB196" s="12">
        <f t="shared" si="18"/>
        <v>-9.3370681605970426E-4</v>
      </c>
      <c r="AC196">
        <v>107.1</v>
      </c>
      <c r="AD196">
        <v>106.1</v>
      </c>
      <c r="AE196">
        <v>109.1</v>
      </c>
      <c r="AF196">
        <v>102.8</v>
      </c>
      <c r="AG196">
        <v>106.9</v>
      </c>
      <c r="AH196">
        <v>111</v>
      </c>
      <c r="AI196" s="11">
        <f t="shared" ref="AI196:AI259" si="19">(AH196-AH195)/AH195</f>
        <v>-3.5906642728905356E-3</v>
      </c>
    </row>
    <row r="197" spans="1:35" x14ac:dyDescent="0.25">
      <c r="A197" t="s">
        <v>30</v>
      </c>
      <c r="B197">
        <v>2014</v>
      </c>
      <c r="C197">
        <v>7</v>
      </c>
      <c r="D197" s="13">
        <f t="shared" si="15"/>
        <v>41821</v>
      </c>
      <c r="E197">
        <v>121.7</v>
      </c>
      <c r="F197">
        <v>122.5</v>
      </c>
      <c r="G197">
        <v>117.7</v>
      </c>
      <c r="H197">
        <v>120.6</v>
      </c>
      <c r="I197">
        <v>110.4</v>
      </c>
      <c r="J197">
        <v>129.1</v>
      </c>
      <c r="K197">
        <v>150.1</v>
      </c>
      <c r="L197">
        <v>113.2</v>
      </c>
      <c r="M197">
        <v>104.8</v>
      </c>
      <c r="N197">
        <v>113.3</v>
      </c>
      <c r="O197">
        <v>115.6</v>
      </c>
      <c r="P197">
        <v>120.9</v>
      </c>
      <c r="Q197">
        <v>123.3</v>
      </c>
      <c r="R197" s="12">
        <f t="shared" si="16"/>
        <v>7.4978204010462027E-2</v>
      </c>
      <c r="S197">
        <v>118</v>
      </c>
      <c r="T197">
        <v>120.7</v>
      </c>
      <c r="U197">
        <v>118.3</v>
      </c>
      <c r="V197">
        <v>120.3</v>
      </c>
      <c r="W197" t="s">
        <v>31</v>
      </c>
      <c r="X197">
        <v>115.3</v>
      </c>
      <c r="Y197" s="12">
        <f t="shared" si="17"/>
        <v>5.5860805860805808E-2</v>
      </c>
      <c r="Z197">
        <v>115.4</v>
      </c>
      <c r="AA197">
        <v>113.4</v>
      </c>
      <c r="AB197" s="12">
        <f t="shared" si="18"/>
        <v>5.9813084112149584E-2</v>
      </c>
      <c r="AC197">
        <v>113.2</v>
      </c>
      <c r="AD197">
        <v>111.8</v>
      </c>
      <c r="AE197">
        <v>115.5</v>
      </c>
      <c r="AF197">
        <v>108.8</v>
      </c>
      <c r="AG197">
        <v>113.1</v>
      </c>
      <c r="AH197">
        <v>119.5</v>
      </c>
      <c r="AI197" s="11">
        <f t="shared" si="19"/>
        <v>7.6576576576576572E-2</v>
      </c>
    </row>
    <row r="198" spans="1:35" x14ac:dyDescent="0.25">
      <c r="A198" t="s">
        <v>32</v>
      </c>
      <c r="B198">
        <v>2014</v>
      </c>
      <c r="C198">
        <v>7</v>
      </c>
      <c r="D198" s="13">
        <f t="shared" si="15"/>
        <v>41821</v>
      </c>
      <c r="E198">
        <v>123.8</v>
      </c>
      <c r="F198">
        <v>126.4</v>
      </c>
      <c r="G198">
        <v>118</v>
      </c>
      <c r="H198">
        <v>121.6</v>
      </c>
      <c r="I198">
        <v>103.5</v>
      </c>
      <c r="J198">
        <v>133.69999999999999</v>
      </c>
      <c r="K198">
        <v>172.4</v>
      </c>
      <c r="L198">
        <v>113.1</v>
      </c>
      <c r="M198">
        <v>102.7</v>
      </c>
      <c r="N198">
        <v>120</v>
      </c>
      <c r="O198">
        <v>113.8</v>
      </c>
      <c r="P198">
        <v>123.4</v>
      </c>
      <c r="Q198">
        <v>127.1</v>
      </c>
      <c r="R198" s="12">
        <f t="shared" si="16"/>
        <v>3.081914030819138E-2</v>
      </c>
      <c r="S198">
        <v>121</v>
      </c>
      <c r="T198">
        <v>118</v>
      </c>
      <c r="U198">
        <v>113.6</v>
      </c>
      <c r="V198">
        <v>117.4</v>
      </c>
      <c r="W198">
        <v>114.8</v>
      </c>
      <c r="X198">
        <v>111.6</v>
      </c>
      <c r="Y198" s="12">
        <f t="shared" si="17"/>
        <v>-3.2090199479618414E-2</v>
      </c>
      <c r="Z198">
        <v>114.9</v>
      </c>
      <c r="AA198">
        <v>111.5</v>
      </c>
      <c r="AB198" s="12">
        <f t="shared" si="18"/>
        <v>-1.6754850088183469E-2</v>
      </c>
      <c r="AC198">
        <v>113</v>
      </c>
      <c r="AD198">
        <v>112.4</v>
      </c>
      <c r="AE198">
        <v>117.8</v>
      </c>
      <c r="AF198">
        <v>109.7</v>
      </c>
      <c r="AG198">
        <v>113.5</v>
      </c>
      <c r="AH198">
        <v>118.9</v>
      </c>
      <c r="AI198" s="11">
        <f t="shared" si="19"/>
        <v>-5.0209205020920024E-3</v>
      </c>
    </row>
    <row r="199" spans="1:35" x14ac:dyDescent="0.25">
      <c r="A199" t="s">
        <v>33</v>
      </c>
      <c r="B199">
        <v>2014</v>
      </c>
      <c r="C199">
        <v>7</v>
      </c>
      <c r="D199" s="13">
        <f t="shared" si="15"/>
        <v>41821</v>
      </c>
      <c r="E199">
        <v>122.4</v>
      </c>
      <c r="F199">
        <v>123.9</v>
      </c>
      <c r="G199">
        <v>117.8</v>
      </c>
      <c r="H199">
        <v>121</v>
      </c>
      <c r="I199">
        <v>107.9</v>
      </c>
      <c r="J199">
        <v>131.19999999999999</v>
      </c>
      <c r="K199">
        <v>157.69999999999999</v>
      </c>
      <c r="L199">
        <v>113.2</v>
      </c>
      <c r="M199">
        <v>104.1</v>
      </c>
      <c r="N199">
        <v>115.5</v>
      </c>
      <c r="O199">
        <v>114.8</v>
      </c>
      <c r="P199">
        <v>122.1</v>
      </c>
      <c r="Q199">
        <v>124.7</v>
      </c>
      <c r="R199" s="12">
        <f t="shared" si="16"/>
        <v>-1.8882769472855953E-2</v>
      </c>
      <c r="S199">
        <v>118.8</v>
      </c>
      <c r="T199">
        <v>119.6</v>
      </c>
      <c r="U199">
        <v>116.3</v>
      </c>
      <c r="V199">
        <v>119.1</v>
      </c>
      <c r="W199">
        <v>114.8</v>
      </c>
      <c r="X199">
        <v>113.9</v>
      </c>
      <c r="Y199" s="12">
        <f t="shared" si="17"/>
        <v>2.0609318996415875E-2</v>
      </c>
      <c r="Z199">
        <v>115.2</v>
      </c>
      <c r="AA199">
        <v>112.7</v>
      </c>
      <c r="AB199" s="12">
        <f t="shared" si="18"/>
        <v>1.0762331838565047E-2</v>
      </c>
      <c r="AC199">
        <v>113.1</v>
      </c>
      <c r="AD199">
        <v>112.1</v>
      </c>
      <c r="AE199">
        <v>116.8</v>
      </c>
      <c r="AF199">
        <v>109.2</v>
      </c>
      <c r="AG199">
        <v>113.3</v>
      </c>
      <c r="AH199">
        <v>119.2</v>
      </c>
      <c r="AI199" s="11">
        <f t="shared" si="19"/>
        <v>2.5231286795626335E-3</v>
      </c>
    </row>
    <row r="200" spans="1:35" x14ac:dyDescent="0.25">
      <c r="A200" t="s">
        <v>30</v>
      </c>
      <c r="B200">
        <v>2015</v>
      </c>
      <c r="C200">
        <v>7</v>
      </c>
      <c r="D200" s="13">
        <f t="shared" si="15"/>
        <v>42186</v>
      </c>
      <c r="E200">
        <v>124</v>
      </c>
      <c r="F200">
        <v>131.5</v>
      </c>
      <c r="G200">
        <v>122</v>
      </c>
      <c r="H200">
        <v>128.69999999999999</v>
      </c>
      <c r="I200">
        <v>113.5</v>
      </c>
      <c r="J200">
        <v>133.30000000000001</v>
      </c>
      <c r="K200">
        <v>140.80000000000001</v>
      </c>
      <c r="L200">
        <v>133.80000000000001</v>
      </c>
      <c r="M200">
        <v>94.1</v>
      </c>
      <c r="N200">
        <v>123.4</v>
      </c>
      <c r="O200">
        <v>121</v>
      </c>
      <c r="P200">
        <v>131.69999999999999</v>
      </c>
      <c r="Q200">
        <v>127.5</v>
      </c>
      <c r="R200" s="12">
        <f t="shared" si="16"/>
        <v>2.2453889334402542E-2</v>
      </c>
      <c r="S200">
        <v>129.4</v>
      </c>
      <c r="T200">
        <v>128.80000000000001</v>
      </c>
      <c r="U200">
        <v>125.5</v>
      </c>
      <c r="V200">
        <v>128.30000000000001</v>
      </c>
      <c r="W200" t="s">
        <v>31</v>
      </c>
      <c r="X200">
        <v>123</v>
      </c>
      <c r="Y200" s="12">
        <f t="shared" si="17"/>
        <v>7.9894644424934103E-2</v>
      </c>
      <c r="Z200">
        <v>123</v>
      </c>
      <c r="AA200">
        <v>120.8</v>
      </c>
      <c r="AB200" s="12">
        <f t="shared" si="18"/>
        <v>7.1872227151730209E-2</v>
      </c>
      <c r="AC200">
        <v>114.1</v>
      </c>
      <c r="AD200">
        <v>118</v>
      </c>
      <c r="AE200">
        <v>122.9</v>
      </c>
      <c r="AF200">
        <v>112.7</v>
      </c>
      <c r="AG200">
        <v>118.1</v>
      </c>
      <c r="AH200">
        <v>124.7</v>
      </c>
      <c r="AI200" s="11">
        <f t="shared" si="19"/>
        <v>4.6140939597315432E-2</v>
      </c>
    </row>
    <row r="201" spans="1:35" x14ac:dyDescent="0.25">
      <c r="A201" t="s">
        <v>32</v>
      </c>
      <c r="B201">
        <v>2015</v>
      </c>
      <c r="C201">
        <v>7</v>
      </c>
      <c r="D201" s="13">
        <f t="shared" si="15"/>
        <v>42186</v>
      </c>
      <c r="E201">
        <v>123.2</v>
      </c>
      <c r="F201">
        <v>134.30000000000001</v>
      </c>
      <c r="G201">
        <v>119.5</v>
      </c>
      <c r="H201">
        <v>127.7</v>
      </c>
      <c r="I201">
        <v>106.3</v>
      </c>
      <c r="J201">
        <v>132.80000000000001</v>
      </c>
      <c r="K201">
        <v>153.5</v>
      </c>
      <c r="L201">
        <v>149.5</v>
      </c>
      <c r="M201">
        <v>85.7</v>
      </c>
      <c r="N201">
        <v>131.5</v>
      </c>
      <c r="O201">
        <v>118.3</v>
      </c>
      <c r="P201">
        <v>131.1</v>
      </c>
      <c r="Q201">
        <v>129.5</v>
      </c>
      <c r="R201" s="12">
        <f t="shared" si="16"/>
        <v>1.5686274509803921E-2</v>
      </c>
      <c r="S201">
        <v>133.1</v>
      </c>
      <c r="T201">
        <v>123.5</v>
      </c>
      <c r="U201">
        <v>117.9</v>
      </c>
      <c r="V201">
        <v>122.7</v>
      </c>
      <c r="W201">
        <v>119.9</v>
      </c>
      <c r="X201">
        <v>115.3</v>
      </c>
      <c r="Y201" s="12">
        <f t="shared" si="17"/>
        <v>-6.2601626016260181E-2</v>
      </c>
      <c r="Z201">
        <v>119.5</v>
      </c>
      <c r="AA201">
        <v>116</v>
      </c>
      <c r="AB201" s="12">
        <f t="shared" si="18"/>
        <v>-3.9735099337748318E-2</v>
      </c>
      <c r="AC201">
        <v>111.5</v>
      </c>
      <c r="AD201">
        <v>116.6</v>
      </c>
      <c r="AE201">
        <v>125.4</v>
      </c>
      <c r="AF201">
        <v>111.7</v>
      </c>
      <c r="AG201">
        <v>116.3</v>
      </c>
      <c r="AH201">
        <v>122.4</v>
      </c>
      <c r="AI201" s="11">
        <f t="shared" si="19"/>
        <v>-1.8444266238973512E-2</v>
      </c>
    </row>
    <row r="202" spans="1:35" x14ac:dyDescent="0.25">
      <c r="A202" t="s">
        <v>33</v>
      </c>
      <c r="B202">
        <v>2015</v>
      </c>
      <c r="C202">
        <v>7</v>
      </c>
      <c r="D202" s="13">
        <f t="shared" si="15"/>
        <v>42186</v>
      </c>
      <c r="E202">
        <v>123.7</v>
      </c>
      <c r="F202">
        <v>132.5</v>
      </c>
      <c r="G202">
        <v>121</v>
      </c>
      <c r="H202">
        <v>128.30000000000001</v>
      </c>
      <c r="I202">
        <v>110.9</v>
      </c>
      <c r="J202">
        <v>133.1</v>
      </c>
      <c r="K202">
        <v>145.1</v>
      </c>
      <c r="L202">
        <v>139.1</v>
      </c>
      <c r="M202">
        <v>91.3</v>
      </c>
      <c r="N202">
        <v>126.1</v>
      </c>
      <c r="O202">
        <v>119.9</v>
      </c>
      <c r="P202">
        <v>131.4</v>
      </c>
      <c r="Q202">
        <v>128.19999999999999</v>
      </c>
      <c r="R202" s="12">
        <f t="shared" si="16"/>
        <v>-1.0038610038610127E-2</v>
      </c>
      <c r="S202">
        <v>130.4</v>
      </c>
      <c r="T202">
        <v>126.7</v>
      </c>
      <c r="U202">
        <v>122.3</v>
      </c>
      <c r="V202">
        <v>126.1</v>
      </c>
      <c r="W202">
        <v>119.9</v>
      </c>
      <c r="X202">
        <v>120.1</v>
      </c>
      <c r="Y202" s="12">
        <f t="shared" si="17"/>
        <v>4.1630529054640049E-2</v>
      </c>
      <c r="Z202">
        <v>121.3</v>
      </c>
      <c r="AA202">
        <v>119</v>
      </c>
      <c r="AB202" s="12">
        <f t="shared" si="18"/>
        <v>2.5862068965517241E-2</v>
      </c>
      <c r="AC202">
        <v>112.7</v>
      </c>
      <c r="AD202">
        <v>117.2</v>
      </c>
      <c r="AE202">
        <v>124.4</v>
      </c>
      <c r="AF202">
        <v>112.3</v>
      </c>
      <c r="AG202">
        <v>117.2</v>
      </c>
      <c r="AH202">
        <v>123.6</v>
      </c>
      <c r="AI202" s="11">
        <f t="shared" si="19"/>
        <v>9.8039215686273572E-3</v>
      </c>
    </row>
    <row r="203" spans="1:35" x14ac:dyDescent="0.25">
      <c r="A203" t="s">
        <v>30</v>
      </c>
      <c r="B203">
        <v>2016</v>
      </c>
      <c r="C203">
        <v>7</v>
      </c>
      <c r="D203" s="13">
        <f t="shared" si="15"/>
        <v>42552</v>
      </c>
      <c r="E203">
        <v>129.30000000000001</v>
      </c>
      <c r="F203">
        <v>139.5</v>
      </c>
      <c r="G203">
        <v>129.6</v>
      </c>
      <c r="H203">
        <v>134.5</v>
      </c>
      <c r="I203">
        <v>119.5</v>
      </c>
      <c r="J203">
        <v>138.5</v>
      </c>
      <c r="K203">
        <v>158.19999999999999</v>
      </c>
      <c r="L203">
        <v>171.8</v>
      </c>
      <c r="M203">
        <v>110.3</v>
      </c>
      <c r="N203">
        <v>134.30000000000001</v>
      </c>
      <c r="O203">
        <v>127.3</v>
      </c>
      <c r="P203">
        <v>139.9</v>
      </c>
      <c r="Q203">
        <v>137.6</v>
      </c>
      <c r="R203" s="12">
        <f t="shared" si="16"/>
        <v>7.3322932917316744E-2</v>
      </c>
      <c r="S203">
        <v>138</v>
      </c>
      <c r="T203">
        <v>137.19999999999999</v>
      </c>
      <c r="U203">
        <v>132.19999999999999</v>
      </c>
      <c r="V203">
        <v>136.5</v>
      </c>
      <c r="W203" t="s">
        <v>31</v>
      </c>
      <c r="X203">
        <v>128.19999999999999</v>
      </c>
      <c r="Y203" s="12">
        <f t="shared" si="17"/>
        <v>6.7443796835969974E-2</v>
      </c>
      <c r="Z203">
        <v>130</v>
      </c>
      <c r="AA203">
        <v>126.7</v>
      </c>
      <c r="AB203" s="12">
        <f t="shared" si="18"/>
        <v>6.4705882352941196E-2</v>
      </c>
      <c r="AC203">
        <v>116.4</v>
      </c>
      <c r="AD203">
        <v>125.2</v>
      </c>
      <c r="AE203">
        <v>130.80000000000001</v>
      </c>
      <c r="AF203">
        <v>120.9</v>
      </c>
      <c r="AG203">
        <v>123.8</v>
      </c>
      <c r="AH203">
        <v>133</v>
      </c>
      <c r="AI203" s="11">
        <f t="shared" si="19"/>
        <v>7.6051779935275135E-2</v>
      </c>
    </row>
    <row r="204" spans="1:35" x14ac:dyDescent="0.25">
      <c r="A204" t="s">
        <v>32</v>
      </c>
      <c r="B204">
        <v>2016</v>
      </c>
      <c r="C204">
        <v>7</v>
      </c>
      <c r="D204" s="13">
        <f t="shared" si="15"/>
        <v>42552</v>
      </c>
      <c r="E204">
        <v>126.8</v>
      </c>
      <c r="F204">
        <v>144.19999999999999</v>
      </c>
      <c r="G204">
        <v>136.6</v>
      </c>
      <c r="H204">
        <v>131.80000000000001</v>
      </c>
      <c r="I204">
        <v>111</v>
      </c>
      <c r="J204">
        <v>137</v>
      </c>
      <c r="K204">
        <v>179.5</v>
      </c>
      <c r="L204">
        <v>188.4</v>
      </c>
      <c r="M204">
        <v>113.3</v>
      </c>
      <c r="N204">
        <v>143.9</v>
      </c>
      <c r="O204">
        <v>121.7</v>
      </c>
      <c r="P204">
        <v>137.5</v>
      </c>
      <c r="Q204">
        <v>139.80000000000001</v>
      </c>
      <c r="R204" s="12">
        <f t="shared" si="16"/>
        <v>1.5988372093023381E-2</v>
      </c>
      <c r="S204">
        <v>142.9</v>
      </c>
      <c r="T204">
        <v>127.9</v>
      </c>
      <c r="U204">
        <v>121.1</v>
      </c>
      <c r="V204">
        <v>126.9</v>
      </c>
      <c r="W204">
        <v>126.4</v>
      </c>
      <c r="X204">
        <v>115.5</v>
      </c>
      <c r="Y204" s="12">
        <f t="shared" si="17"/>
        <v>-9.9063962558502264E-2</v>
      </c>
      <c r="Z204">
        <v>123.5</v>
      </c>
      <c r="AA204">
        <v>120.9</v>
      </c>
      <c r="AB204" s="12">
        <f t="shared" si="18"/>
        <v>-4.577742699289658E-2</v>
      </c>
      <c r="AC204">
        <v>111.7</v>
      </c>
      <c r="AD204">
        <v>120.3</v>
      </c>
      <c r="AE204">
        <v>130.80000000000001</v>
      </c>
      <c r="AF204">
        <v>120</v>
      </c>
      <c r="AG204">
        <v>119.9</v>
      </c>
      <c r="AH204">
        <v>129</v>
      </c>
      <c r="AI204" s="11">
        <f t="shared" si="19"/>
        <v>-3.007518796992481E-2</v>
      </c>
    </row>
    <row r="205" spans="1:35" x14ac:dyDescent="0.25">
      <c r="A205" t="s">
        <v>33</v>
      </c>
      <c r="B205">
        <v>2016</v>
      </c>
      <c r="C205">
        <v>7</v>
      </c>
      <c r="D205" s="13">
        <f t="shared" si="15"/>
        <v>42552</v>
      </c>
      <c r="E205">
        <v>128.5</v>
      </c>
      <c r="F205">
        <v>141.19999999999999</v>
      </c>
      <c r="G205">
        <v>132.30000000000001</v>
      </c>
      <c r="H205">
        <v>133.5</v>
      </c>
      <c r="I205">
        <v>116.4</v>
      </c>
      <c r="J205">
        <v>137.80000000000001</v>
      </c>
      <c r="K205">
        <v>165.4</v>
      </c>
      <c r="L205">
        <v>177.4</v>
      </c>
      <c r="M205">
        <v>111.3</v>
      </c>
      <c r="N205">
        <v>137.5</v>
      </c>
      <c r="O205">
        <v>125</v>
      </c>
      <c r="P205">
        <v>138.80000000000001</v>
      </c>
      <c r="Q205">
        <v>138.4</v>
      </c>
      <c r="R205" s="12">
        <f t="shared" si="16"/>
        <v>-1.0014306151645247E-2</v>
      </c>
      <c r="S205">
        <v>139.30000000000001</v>
      </c>
      <c r="T205">
        <v>133.5</v>
      </c>
      <c r="U205">
        <v>127.6</v>
      </c>
      <c r="V205">
        <v>132.69999999999999</v>
      </c>
      <c r="W205">
        <v>126.4</v>
      </c>
      <c r="X205">
        <v>123.4</v>
      </c>
      <c r="Y205" s="12">
        <f t="shared" si="17"/>
        <v>6.8398268398268444E-2</v>
      </c>
      <c r="Z205">
        <v>126.9</v>
      </c>
      <c r="AA205">
        <v>124.5</v>
      </c>
      <c r="AB205" s="12">
        <f t="shared" si="18"/>
        <v>2.9776674937965212E-2</v>
      </c>
      <c r="AC205">
        <v>113.9</v>
      </c>
      <c r="AD205">
        <v>122.4</v>
      </c>
      <c r="AE205">
        <v>130.80000000000001</v>
      </c>
      <c r="AF205">
        <v>120.5</v>
      </c>
      <c r="AG205">
        <v>121.9</v>
      </c>
      <c r="AH205">
        <v>131.1</v>
      </c>
      <c r="AI205" s="11">
        <f t="shared" si="19"/>
        <v>1.6279069767441815E-2</v>
      </c>
    </row>
    <row r="206" spans="1:35" x14ac:dyDescent="0.25">
      <c r="A206" t="s">
        <v>30</v>
      </c>
      <c r="B206">
        <v>2017</v>
      </c>
      <c r="C206">
        <v>7</v>
      </c>
      <c r="D206" s="13">
        <f t="shared" si="15"/>
        <v>42917</v>
      </c>
      <c r="E206">
        <v>134</v>
      </c>
      <c r="F206">
        <v>144.19999999999999</v>
      </c>
      <c r="G206">
        <v>129.80000000000001</v>
      </c>
      <c r="H206">
        <v>139</v>
      </c>
      <c r="I206">
        <v>120.9</v>
      </c>
      <c r="J206">
        <v>143.9</v>
      </c>
      <c r="K206">
        <v>151.5</v>
      </c>
      <c r="L206">
        <v>138.1</v>
      </c>
      <c r="M206">
        <v>120</v>
      </c>
      <c r="N206">
        <v>133.9</v>
      </c>
      <c r="O206">
        <v>131.4</v>
      </c>
      <c r="P206">
        <v>147.69999999999999</v>
      </c>
      <c r="Q206">
        <v>138.5</v>
      </c>
      <c r="R206" s="12">
        <f t="shared" si="16"/>
        <v>7.2254335260111494E-4</v>
      </c>
      <c r="S206">
        <v>147.4</v>
      </c>
      <c r="T206">
        <v>144.30000000000001</v>
      </c>
      <c r="U206">
        <v>138.1</v>
      </c>
      <c r="V206">
        <v>143.5</v>
      </c>
      <c r="W206" t="s">
        <v>31</v>
      </c>
      <c r="X206">
        <v>135.30000000000001</v>
      </c>
      <c r="Y206" s="12">
        <f t="shared" si="17"/>
        <v>9.6434359805510572E-2</v>
      </c>
      <c r="Z206">
        <v>136.1</v>
      </c>
      <c r="AA206">
        <v>132.1</v>
      </c>
      <c r="AB206" s="12">
        <f t="shared" si="18"/>
        <v>6.1044176706827262E-2</v>
      </c>
      <c r="AC206">
        <v>119.1</v>
      </c>
      <c r="AD206">
        <v>130.6</v>
      </c>
      <c r="AE206">
        <v>138.6</v>
      </c>
      <c r="AF206">
        <v>124.4</v>
      </c>
      <c r="AG206">
        <v>128.6</v>
      </c>
      <c r="AH206">
        <v>136.19999999999999</v>
      </c>
      <c r="AI206" s="11">
        <f t="shared" si="19"/>
        <v>3.8901601830663574E-2</v>
      </c>
    </row>
    <row r="207" spans="1:35" x14ac:dyDescent="0.25">
      <c r="A207" t="s">
        <v>32</v>
      </c>
      <c r="B207">
        <v>2017</v>
      </c>
      <c r="C207">
        <v>7</v>
      </c>
      <c r="D207" s="13">
        <f t="shared" si="15"/>
        <v>42917</v>
      </c>
      <c r="E207">
        <v>132.80000000000001</v>
      </c>
      <c r="F207">
        <v>148.4</v>
      </c>
      <c r="G207">
        <v>129.4</v>
      </c>
      <c r="H207">
        <v>137.69999999999999</v>
      </c>
      <c r="I207">
        <v>113.4</v>
      </c>
      <c r="J207">
        <v>139.4</v>
      </c>
      <c r="K207">
        <v>175.1</v>
      </c>
      <c r="L207">
        <v>124.7</v>
      </c>
      <c r="M207">
        <v>121.5</v>
      </c>
      <c r="N207">
        <v>137.80000000000001</v>
      </c>
      <c r="O207">
        <v>124.4</v>
      </c>
      <c r="P207">
        <v>143.69999999999999</v>
      </c>
      <c r="Q207">
        <v>139.80000000000001</v>
      </c>
      <c r="R207" s="12">
        <f t="shared" si="16"/>
        <v>9.3862815884477348E-3</v>
      </c>
      <c r="S207">
        <v>150.5</v>
      </c>
      <c r="T207">
        <v>131.6</v>
      </c>
      <c r="U207">
        <v>123.7</v>
      </c>
      <c r="V207">
        <v>130.4</v>
      </c>
      <c r="W207">
        <v>132.6</v>
      </c>
      <c r="X207">
        <v>119.7</v>
      </c>
      <c r="Y207" s="12">
        <f t="shared" si="17"/>
        <v>-0.11529933481152999</v>
      </c>
      <c r="Z207">
        <v>127.2</v>
      </c>
      <c r="AA207">
        <v>125</v>
      </c>
      <c r="AB207" s="12">
        <f t="shared" si="18"/>
        <v>-5.3747161241483682E-2</v>
      </c>
      <c r="AC207">
        <v>113.2</v>
      </c>
      <c r="AD207">
        <v>123.5</v>
      </c>
      <c r="AE207">
        <v>135.5</v>
      </c>
      <c r="AF207">
        <v>122.4</v>
      </c>
      <c r="AG207">
        <v>123</v>
      </c>
      <c r="AH207">
        <v>131.80000000000001</v>
      </c>
      <c r="AI207" s="11">
        <f t="shared" si="19"/>
        <v>-3.230543318649029E-2</v>
      </c>
    </row>
    <row r="208" spans="1:35" x14ac:dyDescent="0.25">
      <c r="A208" t="s">
        <v>33</v>
      </c>
      <c r="B208">
        <v>2017</v>
      </c>
      <c r="C208">
        <v>7</v>
      </c>
      <c r="D208" s="13">
        <f t="shared" si="15"/>
        <v>42917</v>
      </c>
      <c r="E208">
        <v>133.6</v>
      </c>
      <c r="F208">
        <v>145.69999999999999</v>
      </c>
      <c r="G208">
        <v>129.6</v>
      </c>
      <c r="H208">
        <v>138.5</v>
      </c>
      <c r="I208">
        <v>118.1</v>
      </c>
      <c r="J208">
        <v>141.80000000000001</v>
      </c>
      <c r="K208">
        <v>159.5</v>
      </c>
      <c r="L208">
        <v>133.6</v>
      </c>
      <c r="M208">
        <v>120.5</v>
      </c>
      <c r="N208">
        <v>135.19999999999999</v>
      </c>
      <c r="O208">
        <v>128.5</v>
      </c>
      <c r="P208">
        <v>145.80000000000001</v>
      </c>
      <c r="Q208">
        <v>139</v>
      </c>
      <c r="R208" s="12">
        <f t="shared" si="16"/>
        <v>-5.7224606580830563E-3</v>
      </c>
      <c r="S208">
        <v>148.19999999999999</v>
      </c>
      <c r="T208">
        <v>139.30000000000001</v>
      </c>
      <c r="U208">
        <v>132.1</v>
      </c>
      <c r="V208">
        <v>138.30000000000001</v>
      </c>
      <c r="W208">
        <v>132.6</v>
      </c>
      <c r="X208">
        <v>129.4</v>
      </c>
      <c r="Y208" s="12">
        <f t="shared" si="17"/>
        <v>8.1035923141186322E-2</v>
      </c>
      <c r="Z208">
        <v>131.9</v>
      </c>
      <c r="AA208">
        <v>129.4</v>
      </c>
      <c r="AB208" s="12">
        <f t="shared" si="18"/>
        <v>3.5200000000000044E-2</v>
      </c>
      <c r="AC208">
        <v>116</v>
      </c>
      <c r="AD208">
        <v>126.6</v>
      </c>
      <c r="AE208">
        <v>136.80000000000001</v>
      </c>
      <c r="AF208">
        <v>123.6</v>
      </c>
      <c r="AG208">
        <v>125.9</v>
      </c>
      <c r="AH208">
        <v>134.19999999999999</v>
      </c>
      <c r="AI208" s="11">
        <f t="shared" si="19"/>
        <v>1.8209408194233515E-2</v>
      </c>
    </row>
    <row r="209" spans="1:35" x14ac:dyDescent="0.25">
      <c r="A209" t="s">
        <v>30</v>
      </c>
      <c r="B209">
        <v>2018</v>
      </c>
      <c r="C209">
        <v>7</v>
      </c>
      <c r="D209" s="13">
        <f t="shared" si="15"/>
        <v>43282</v>
      </c>
      <c r="E209">
        <v>138.4</v>
      </c>
      <c r="F209">
        <v>149.30000000000001</v>
      </c>
      <c r="G209">
        <v>139.30000000000001</v>
      </c>
      <c r="H209">
        <v>143.4</v>
      </c>
      <c r="I209">
        <v>124.1</v>
      </c>
      <c r="J209">
        <v>153.30000000000001</v>
      </c>
      <c r="K209">
        <v>154.19999999999999</v>
      </c>
      <c r="L209">
        <v>126.4</v>
      </c>
      <c r="M209">
        <v>114.3</v>
      </c>
      <c r="N209">
        <v>138.19999999999999</v>
      </c>
      <c r="O209">
        <v>132.80000000000001</v>
      </c>
      <c r="P209">
        <v>154.80000000000001</v>
      </c>
      <c r="Q209">
        <v>142</v>
      </c>
      <c r="R209" s="12">
        <f t="shared" si="16"/>
        <v>2.1582733812949641E-2</v>
      </c>
      <c r="S209">
        <v>156.1</v>
      </c>
      <c r="T209">
        <v>151.5</v>
      </c>
      <c r="U209">
        <v>145.1</v>
      </c>
      <c r="V209">
        <v>150.6</v>
      </c>
      <c r="W209" t="s">
        <v>31</v>
      </c>
      <c r="X209">
        <v>146.80000000000001</v>
      </c>
      <c r="Y209" s="12">
        <f t="shared" si="17"/>
        <v>0.13446676970633697</v>
      </c>
      <c r="Z209">
        <v>143.1</v>
      </c>
      <c r="AA209">
        <v>139</v>
      </c>
      <c r="AB209" s="12">
        <f t="shared" si="18"/>
        <v>7.4188562596599644E-2</v>
      </c>
      <c r="AC209">
        <v>127.5</v>
      </c>
      <c r="AD209">
        <v>138.4</v>
      </c>
      <c r="AE209">
        <v>145.80000000000001</v>
      </c>
      <c r="AF209">
        <v>131.4</v>
      </c>
      <c r="AG209">
        <v>136</v>
      </c>
      <c r="AH209">
        <v>141.80000000000001</v>
      </c>
      <c r="AI209" s="11">
        <f t="shared" si="19"/>
        <v>5.6631892697466643E-2</v>
      </c>
    </row>
    <row r="210" spans="1:35" x14ac:dyDescent="0.25">
      <c r="A210" t="s">
        <v>32</v>
      </c>
      <c r="B210">
        <v>2018</v>
      </c>
      <c r="C210">
        <v>7</v>
      </c>
      <c r="D210" s="13">
        <f t="shared" si="15"/>
        <v>43282</v>
      </c>
      <c r="E210">
        <v>135.6</v>
      </c>
      <c r="F210">
        <v>148.6</v>
      </c>
      <c r="G210">
        <v>139.1</v>
      </c>
      <c r="H210">
        <v>141</v>
      </c>
      <c r="I210">
        <v>116.7</v>
      </c>
      <c r="J210">
        <v>149.69999999999999</v>
      </c>
      <c r="K210">
        <v>159.19999999999999</v>
      </c>
      <c r="L210">
        <v>112.6</v>
      </c>
      <c r="M210">
        <v>111.8</v>
      </c>
      <c r="N210">
        <v>140.30000000000001</v>
      </c>
      <c r="O210">
        <v>126.8</v>
      </c>
      <c r="P210">
        <v>149.4</v>
      </c>
      <c r="Q210">
        <v>140.30000000000001</v>
      </c>
      <c r="R210" s="12">
        <f t="shared" si="16"/>
        <v>-1.1971830985915413E-2</v>
      </c>
      <c r="S210">
        <v>161.4</v>
      </c>
      <c r="T210">
        <v>139.6</v>
      </c>
      <c r="U210">
        <v>128.9</v>
      </c>
      <c r="V210">
        <v>137.9</v>
      </c>
      <c r="W210">
        <v>143.6</v>
      </c>
      <c r="X210">
        <v>128.1</v>
      </c>
      <c r="Y210" s="12">
        <f t="shared" si="17"/>
        <v>-0.12738419618528621</v>
      </c>
      <c r="Z210">
        <v>133.6</v>
      </c>
      <c r="AA210">
        <v>133.6</v>
      </c>
      <c r="AB210" s="12">
        <f t="shared" si="18"/>
        <v>-3.8848920863309391E-2</v>
      </c>
      <c r="AC210">
        <v>120.1</v>
      </c>
      <c r="AD210">
        <v>129</v>
      </c>
      <c r="AE210">
        <v>144</v>
      </c>
      <c r="AF210">
        <v>128.19999999999999</v>
      </c>
      <c r="AG210">
        <v>130.19999999999999</v>
      </c>
      <c r="AH210">
        <v>137.5</v>
      </c>
      <c r="AI210" s="11">
        <f t="shared" si="19"/>
        <v>-3.0324400564174972E-2</v>
      </c>
    </row>
    <row r="211" spans="1:35" x14ac:dyDescent="0.25">
      <c r="A211" t="s">
        <v>33</v>
      </c>
      <c r="B211">
        <v>2018</v>
      </c>
      <c r="C211">
        <v>7</v>
      </c>
      <c r="D211" s="13">
        <f t="shared" si="15"/>
        <v>43282</v>
      </c>
      <c r="E211">
        <v>137.5</v>
      </c>
      <c r="F211">
        <v>149.1</v>
      </c>
      <c r="G211">
        <v>139.19999999999999</v>
      </c>
      <c r="H211">
        <v>142.5</v>
      </c>
      <c r="I211">
        <v>121.4</v>
      </c>
      <c r="J211">
        <v>151.6</v>
      </c>
      <c r="K211">
        <v>155.9</v>
      </c>
      <c r="L211">
        <v>121.7</v>
      </c>
      <c r="M211">
        <v>113.5</v>
      </c>
      <c r="N211">
        <v>138.9</v>
      </c>
      <c r="O211">
        <v>130.30000000000001</v>
      </c>
      <c r="P211">
        <v>152.30000000000001</v>
      </c>
      <c r="Q211">
        <v>141.4</v>
      </c>
      <c r="R211" s="12">
        <f t="shared" si="16"/>
        <v>7.840342124019916E-3</v>
      </c>
      <c r="S211">
        <v>157.5</v>
      </c>
      <c r="T211">
        <v>146.80000000000001</v>
      </c>
      <c r="U211">
        <v>138.4</v>
      </c>
      <c r="V211">
        <v>145.6</v>
      </c>
      <c r="W211">
        <v>143.6</v>
      </c>
      <c r="X211">
        <v>139.69999999999999</v>
      </c>
      <c r="Y211" s="12">
        <f t="shared" si="17"/>
        <v>9.055425448868068E-2</v>
      </c>
      <c r="Z211">
        <v>138.6</v>
      </c>
      <c r="AA211">
        <v>137</v>
      </c>
      <c r="AB211" s="12">
        <f t="shared" si="18"/>
        <v>2.544910179640723E-2</v>
      </c>
      <c r="AC211">
        <v>123.6</v>
      </c>
      <c r="AD211">
        <v>133.1</v>
      </c>
      <c r="AE211">
        <v>144.69999999999999</v>
      </c>
      <c r="AF211">
        <v>130.1</v>
      </c>
      <c r="AG211">
        <v>133.19999999999999</v>
      </c>
      <c r="AH211">
        <v>139.80000000000001</v>
      </c>
      <c r="AI211" s="11">
        <f t="shared" si="19"/>
        <v>1.6727272727272809E-2</v>
      </c>
    </row>
    <row r="212" spans="1:35" x14ac:dyDescent="0.25">
      <c r="A212" t="s">
        <v>30</v>
      </c>
      <c r="B212">
        <v>2019</v>
      </c>
      <c r="C212">
        <v>7</v>
      </c>
      <c r="D212" s="13">
        <f t="shared" si="15"/>
        <v>43647</v>
      </c>
      <c r="E212">
        <v>138.4</v>
      </c>
      <c r="F212">
        <v>164</v>
      </c>
      <c r="G212">
        <v>138.4</v>
      </c>
      <c r="H212">
        <v>143.9</v>
      </c>
      <c r="I212">
        <v>124.4</v>
      </c>
      <c r="J212">
        <v>146.4</v>
      </c>
      <c r="K212">
        <v>150.1</v>
      </c>
      <c r="L212">
        <v>130.6</v>
      </c>
      <c r="M212">
        <v>110.8</v>
      </c>
      <c r="N212">
        <v>141.69999999999999</v>
      </c>
      <c r="O212">
        <v>138.5</v>
      </c>
      <c r="P212">
        <v>156.69999999999999</v>
      </c>
      <c r="Q212">
        <v>143</v>
      </c>
      <c r="R212" s="12">
        <f t="shared" si="16"/>
        <v>1.1315417256011274E-2</v>
      </c>
      <c r="S212">
        <v>164.5</v>
      </c>
      <c r="T212">
        <v>151.6</v>
      </c>
      <c r="U212">
        <v>146.6</v>
      </c>
      <c r="V212">
        <v>150.9</v>
      </c>
      <c r="W212" t="s">
        <v>31</v>
      </c>
      <c r="X212">
        <v>146.80000000000001</v>
      </c>
      <c r="Y212" s="12">
        <f t="shared" si="17"/>
        <v>5.0823192555476189E-2</v>
      </c>
      <c r="Z212">
        <v>150</v>
      </c>
      <c r="AA212">
        <v>152.19999999999999</v>
      </c>
      <c r="AB212" s="12">
        <f t="shared" si="18"/>
        <v>0.11094890510948897</v>
      </c>
      <c r="AC212">
        <v>131.19999999999999</v>
      </c>
      <c r="AD212">
        <v>147.5</v>
      </c>
      <c r="AE212">
        <v>159.1</v>
      </c>
      <c r="AF212">
        <v>136.1</v>
      </c>
      <c r="AG212">
        <v>144.19999999999999</v>
      </c>
      <c r="AH212">
        <v>144.9</v>
      </c>
      <c r="AI212" s="11">
        <f t="shared" si="19"/>
        <v>3.6480686695278923E-2</v>
      </c>
    </row>
    <row r="213" spans="1:35" x14ac:dyDescent="0.25">
      <c r="A213" t="s">
        <v>32</v>
      </c>
      <c r="B213">
        <v>2019</v>
      </c>
      <c r="C213">
        <v>7</v>
      </c>
      <c r="D213" s="13">
        <f t="shared" si="15"/>
        <v>43647</v>
      </c>
      <c r="E213">
        <v>141.4</v>
      </c>
      <c r="F213">
        <v>160.19999999999999</v>
      </c>
      <c r="G213">
        <v>142.5</v>
      </c>
      <c r="H213">
        <v>144.1</v>
      </c>
      <c r="I213">
        <v>119.3</v>
      </c>
      <c r="J213">
        <v>154.69999999999999</v>
      </c>
      <c r="K213">
        <v>180.1</v>
      </c>
      <c r="L213">
        <v>128.9</v>
      </c>
      <c r="M213">
        <v>111.8</v>
      </c>
      <c r="N213">
        <v>141.6</v>
      </c>
      <c r="O213">
        <v>129.5</v>
      </c>
      <c r="P213">
        <v>155.6</v>
      </c>
      <c r="Q213">
        <v>147.69999999999999</v>
      </c>
      <c r="R213" s="12">
        <f t="shared" si="16"/>
        <v>3.2867132867132789E-2</v>
      </c>
      <c r="S213">
        <v>167.2</v>
      </c>
      <c r="T213">
        <v>144.69999999999999</v>
      </c>
      <c r="U213">
        <v>131.9</v>
      </c>
      <c r="V213">
        <v>142.69999999999999</v>
      </c>
      <c r="W213">
        <v>150.6</v>
      </c>
      <c r="X213">
        <v>127</v>
      </c>
      <c r="Y213" s="12">
        <f t="shared" si="17"/>
        <v>-0.13487738419618536</v>
      </c>
      <c r="Z213">
        <v>137.69999999999999</v>
      </c>
      <c r="AA213">
        <v>140.80000000000001</v>
      </c>
      <c r="AB213" s="12">
        <f t="shared" si="18"/>
        <v>-7.4901445466491315E-2</v>
      </c>
      <c r="AC213">
        <v>120.6</v>
      </c>
      <c r="AD213">
        <v>135</v>
      </c>
      <c r="AE213">
        <v>150.4</v>
      </c>
      <c r="AF213">
        <v>135.1</v>
      </c>
      <c r="AG213">
        <v>134.5</v>
      </c>
      <c r="AH213">
        <v>143.30000000000001</v>
      </c>
      <c r="AI213" s="11">
        <f t="shared" si="19"/>
        <v>-1.1042097998619698E-2</v>
      </c>
    </row>
    <row r="214" spans="1:35" x14ac:dyDescent="0.25">
      <c r="A214" t="s">
        <v>33</v>
      </c>
      <c r="B214">
        <v>2019</v>
      </c>
      <c r="C214">
        <v>7</v>
      </c>
      <c r="D214" s="13">
        <f t="shared" si="15"/>
        <v>43647</v>
      </c>
      <c r="E214">
        <v>139.30000000000001</v>
      </c>
      <c r="F214">
        <v>162.69999999999999</v>
      </c>
      <c r="G214">
        <v>140</v>
      </c>
      <c r="H214">
        <v>144</v>
      </c>
      <c r="I214">
        <v>122.5</v>
      </c>
      <c r="J214">
        <v>150.30000000000001</v>
      </c>
      <c r="K214">
        <v>160.30000000000001</v>
      </c>
      <c r="L214">
        <v>130</v>
      </c>
      <c r="M214">
        <v>111.1</v>
      </c>
      <c r="N214">
        <v>141.69999999999999</v>
      </c>
      <c r="O214">
        <v>134.69999999999999</v>
      </c>
      <c r="P214">
        <v>156.19999999999999</v>
      </c>
      <c r="Q214">
        <v>144.69999999999999</v>
      </c>
      <c r="R214" s="12">
        <f t="shared" si="16"/>
        <v>-2.0311442112389982E-2</v>
      </c>
      <c r="S214">
        <v>165.2</v>
      </c>
      <c r="T214">
        <v>148.9</v>
      </c>
      <c r="U214">
        <v>140.5</v>
      </c>
      <c r="V214">
        <v>147.6</v>
      </c>
      <c r="W214">
        <v>150.6</v>
      </c>
      <c r="X214">
        <v>139.30000000000001</v>
      </c>
      <c r="Y214" s="12">
        <f t="shared" si="17"/>
        <v>9.685039370078749E-2</v>
      </c>
      <c r="Z214">
        <v>144.19999999999999</v>
      </c>
      <c r="AA214">
        <v>147.9</v>
      </c>
      <c r="AB214" s="12">
        <f t="shared" si="18"/>
        <v>5.0426136363636319E-2</v>
      </c>
      <c r="AC214">
        <v>125.6</v>
      </c>
      <c r="AD214">
        <v>140.5</v>
      </c>
      <c r="AE214">
        <v>154</v>
      </c>
      <c r="AF214">
        <v>135.69999999999999</v>
      </c>
      <c r="AG214">
        <v>139.5</v>
      </c>
      <c r="AH214">
        <v>144.19999999999999</v>
      </c>
      <c r="AI214" s="11">
        <f t="shared" si="19"/>
        <v>6.2805303558965608E-3</v>
      </c>
    </row>
    <row r="215" spans="1:35" x14ac:dyDescent="0.25">
      <c r="A215" t="s">
        <v>30</v>
      </c>
      <c r="B215">
        <v>2020</v>
      </c>
      <c r="C215">
        <v>7</v>
      </c>
      <c r="D215" s="13">
        <f t="shared" si="15"/>
        <v>44013</v>
      </c>
      <c r="E215">
        <v>148.19999999999999</v>
      </c>
      <c r="F215">
        <v>190.3</v>
      </c>
      <c r="G215">
        <v>149.4</v>
      </c>
      <c r="H215">
        <v>153.30000000000001</v>
      </c>
      <c r="I215">
        <v>138.19999999999999</v>
      </c>
      <c r="J215">
        <v>143.19999999999999</v>
      </c>
      <c r="K215">
        <v>148.9</v>
      </c>
      <c r="L215">
        <v>150.30000000000001</v>
      </c>
      <c r="M215">
        <v>113.2</v>
      </c>
      <c r="N215">
        <v>159.80000000000001</v>
      </c>
      <c r="O215">
        <v>142.1</v>
      </c>
      <c r="P215">
        <v>161.80000000000001</v>
      </c>
      <c r="Q215">
        <v>152.30000000000001</v>
      </c>
      <c r="R215" s="12">
        <f t="shared" si="16"/>
        <v>5.252246026261246E-2</v>
      </c>
      <c r="S215">
        <v>182.4</v>
      </c>
      <c r="T215">
        <v>154.69999999999999</v>
      </c>
      <c r="U215">
        <v>150</v>
      </c>
      <c r="V215">
        <v>154.1</v>
      </c>
      <c r="W215" t="s">
        <v>31</v>
      </c>
      <c r="X215">
        <v>144.9</v>
      </c>
      <c r="Y215" s="12">
        <f t="shared" si="17"/>
        <v>4.0201005025125587E-2</v>
      </c>
      <c r="Z215">
        <v>151.69999999999999</v>
      </c>
      <c r="AA215">
        <v>158.19999999999999</v>
      </c>
      <c r="AB215" s="12">
        <f t="shared" si="18"/>
        <v>6.9641649763353505E-2</v>
      </c>
      <c r="AC215">
        <v>141.4</v>
      </c>
      <c r="AD215">
        <v>153.19999999999999</v>
      </c>
      <c r="AE215">
        <v>161.80000000000001</v>
      </c>
      <c r="AF215">
        <v>151.19999999999999</v>
      </c>
      <c r="AG215">
        <v>151.69999999999999</v>
      </c>
      <c r="AH215">
        <v>152.69999999999999</v>
      </c>
      <c r="AI215" s="11">
        <f t="shared" si="19"/>
        <v>5.8945908460471569E-2</v>
      </c>
    </row>
    <row r="216" spans="1:35" x14ac:dyDescent="0.25">
      <c r="A216" t="s">
        <v>32</v>
      </c>
      <c r="B216">
        <v>2020</v>
      </c>
      <c r="C216">
        <v>7</v>
      </c>
      <c r="D216" s="13">
        <f t="shared" si="15"/>
        <v>44013</v>
      </c>
      <c r="E216">
        <v>152.69999999999999</v>
      </c>
      <c r="F216">
        <v>197</v>
      </c>
      <c r="G216">
        <v>154.6</v>
      </c>
      <c r="H216">
        <v>153.4</v>
      </c>
      <c r="I216">
        <v>132.9</v>
      </c>
      <c r="J216">
        <v>151.80000000000001</v>
      </c>
      <c r="K216">
        <v>171.2</v>
      </c>
      <c r="L216">
        <v>152</v>
      </c>
      <c r="M216">
        <v>116.3</v>
      </c>
      <c r="N216">
        <v>158.80000000000001</v>
      </c>
      <c r="O216">
        <v>135.6</v>
      </c>
      <c r="P216">
        <v>161.69999999999999</v>
      </c>
      <c r="Q216">
        <v>157</v>
      </c>
      <c r="R216" s="12">
        <f t="shared" si="16"/>
        <v>3.0860144451739908E-2</v>
      </c>
      <c r="S216">
        <v>186.7</v>
      </c>
      <c r="T216">
        <v>149.1</v>
      </c>
      <c r="U216">
        <v>136.6</v>
      </c>
      <c r="V216">
        <v>147.19999999999999</v>
      </c>
      <c r="W216">
        <v>154.69999999999999</v>
      </c>
      <c r="X216">
        <v>137.1</v>
      </c>
      <c r="Y216" s="12">
        <f t="shared" si="17"/>
        <v>-5.38302277432713E-2</v>
      </c>
      <c r="Z216">
        <v>140.4</v>
      </c>
      <c r="AA216">
        <v>148.1</v>
      </c>
      <c r="AB216" s="12">
        <f t="shared" si="18"/>
        <v>-6.3843236409608053E-2</v>
      </c>
      <c r="AC216">
        <v>129.30000000000001</v>
      </c>
      <c r="AD216">
        <v>144.5</v>
      </c>
      <c r="AE216">
        <v>152.5</v>
      </c>
      <c r="AF216">
        <v>152.19999999999999</v>
      </c>
      <c r="AG216">
        <v>142</v>
      </c>
      <c r="AH216">
        <v>150.80000000000001</v>
      </c>
      <c r="AI216" s="11">
        <f t="shared" si="19"/>
        <v>-1.2442698100851194E-2</v>
      </c>
    </row>
    <row r="217" spans="1:35" x14ac:dyDescent="0.25">
      <c r="A217" t="s">
        <v>33</v>
      </c>
      <c r="B217">
        <v>2020</v>
      </c>
      <c r="C217">
        <v>7</v>
      </c>
      <c r="D217" s="13">
        <f t="shared" si="15"/>
        <v>44013</v>
      </c>
      <c r="E217">
        <v>149.6</v>
      </c>
      <c r="F217">
        <v>192.7</v>
      </c>
      <c r="G217">
        <v>151.4</v>
      </c>
      <c r="H217">
        <v>153.30000000000001</v>
      </c>
      <c r="I217">
        <v>136.30000000000001</v>
      </c>
      <c r="J217">
        <v>147.19999999999999</v>
      </c>
      <c r="K217">
        <v>156.5</v>
      </c>
      <c r="L217">
        <v>150.9</v>
      </c>
      <c r="M217">
        <v>114.2</v>
      </c>
      <c r="N217">
        <v>159.5</v>
      </c>
      <c r="O217">
        <v>139.4</v>
      </c>
      <c r="P217">
        <v>161.80000000000001</v>
      </c>
      <c r="Q217">
        <v>154</v>
      </c>
      <c r="R217" s="12">
        <f t="shared" si="16"/>
        <v>-1.9108280254777069E-2</v>
      </c>
      <c r="S217">
        <v>183.5</v>
      </c>
      <c r="T217">
        <v>152.5</v>
      </c>
      <c r="U217">
        <v>144.4</v>
      </c>
      <c r="V217">
        <v>151.4</v>
      </c>
      <c r="W217">
        <v>154.69999999999999</v>
      </c>
      <c r="X217">
        <v>141.9</v>
      </c>
      <c r="Y217" s="12">
        <f t="shared" si="17"/>
        <v>3.5010940919037281E-2</v>
      </c>
      <c r="Z217">
        <v>146.4</v>
      </c>
      <c r="AA217">
        <v>154.4</v>
      </c>
      <c r="AB217" s="12">
        <f t="shared" si="18"/>
        <v>4.2538825118163481E-2</v>
      </c>
      <c r="AC217">
        <v>135</v>
      </c>
      <c r="AD217">
        <v>148.30000000000001</v>
      </c>
      <c r="AE217">
        <v>156.4</v>
      </c>
      <c r="AF217">
        <v>151.6</v>
      </c>
      <c r="AG217">
        <v>147</v>
      </c>
      <c r="AH217">
        <v>151.80000000000001</v>
      </c>
      <c r="AI217" s="11">
        <f t="shared" si="19"/>
        <v>6.6312997347480101E-3</v>
      </c>
    </row>
    <row r="218" spans="1:35" x14ac:dyDescent="0.25">
      <c r="A218" t="s">
        <v>30</v>
      </c>
      <c r="B218">
        <v>2021</v>
      </c>
      <c r="C218">
        <v>7</v>
      </c>
      <c r="D218" s="13">
        <f t="shared" si="15"/>
        <v>44378</v>
      </c>
      <c r="E218">
        <v>145.1</v>
      </c>
      <c r="F218">
        <v>204.5</v>
      </c>
      <c r="G218">
        <v>180.4</v>
      </c>
      <c r="H218">
        <v>157.1</v>
      </c>
      <c r="I218">
        <v>188.7</v>
      </c>
      <c r="J218">
        <v>157.69999999999999</v>
      </c>
      <c r="K218">
        <v>152.80000000000001</v>
      </c>
      <c r="L218">
        <v>163.6</v>
      </c>
      <c r="M218">
        <v>113.9</v>
      </c>
      <c r="N218">
        <v>169.7</v>
      </c>
      <c r="O218">
        <v>166.2</v>
      </c>
      <c r="P218">
        <v>171</v>
      </c>
      <c r="Q218">
        <v>161.69999999999999</v>
      </c>
      <c r="R218" s="12">
        <f t="shared" si="16"/>
        <v>4.9999999999999926E-2</v>
      </c>
      <c r="S218">
        <v>189.7</v>
      </c>
      <c r="T218">
        <v>166</v>
      </c>
      <c r="U218">
        <v>161.1</v>
      </c>
      <c r="V218">
        <v>165.3</v>
      </c>
      <c r="W218" t="s">
        <v>31</v>
      </c>
      <c r="X218">
        <v>162.5</v>
      </c>
      <c r="Y218" s="12">
        <f t="shared" si="17"/>
        <v>0.14517265680056374</v>
      </c>
      <c r="Z218">
        <v>160.30000000000001</v>
      </c>
      <c r="AA218">
        <v>170.4</v>
      </c>
      <c r="AB218" s="12">
        <f t="shared" si="18"/>
        <v>0.10362694300518134</v>
      </c>
      <c r="AC218">
        <v>157.1</v>
      </c>
      <c r="AD218">
        <v>160.69999999999999</v>
      </c>
      <c r="AE218">
        <v>167.2</v>
      </c>
      <c r="AF218">
        <v>160.4</v>
      </c>
      <c r="AG218">
        <v>162.80000000000001</v>
      </c>
      <c r="AH218">
        <v>163.19999999999999</v>
      </c>
      <c r="AI218" s="11">
        <f t="shared" si="19"/>
        <v>7.5098814229248856E-2</v>
      </c>
    </row>
    <row r="219" spans="1:35" x14ac:dyDescent="0.25">
      <c r="A219" t="s">
        <v>32</v>
      </c>
      <c r="B219">
        <v>2021</v>
      </c>
      <c r="C219">
        <v>7</v>
      </c>
      <c r="D219" s="13">
        <f t="shared" si="15"/>
        <v>44378</v>
      </c>
      <c r="E219">
        <v>149.1</v>
      </c>
      <c r="F219">
        <v>210.9</v>
      </c>
      <c r="G219">
        <v>185</v>
      </c>
      <c r="H219">
        <v>158.19999999999999</v>
      </c>
      <c r="I219">
        <v>170.6</v>
      </c>
      <c r="J219">
        <v>170.9</v>
      </c>
      <c r="K219">
        <v>186.4</v>
      </c>
      <c r="L219">
        <v>164.7</v>
      </c>
      <c r="M219">
        <v>115.7</v>
      </c>
      <c r="N219">
        <v>165.5</v>
      </c>
      <c r="O219">
        <v>153.4</v>
      </c>
      <c r="P219">
        <v>173.5</v>
      </c>
      <c r="Q219">
        <v>167.9</v>
      </c>
      <c r="R219" s="12">
        <f t="shared" si="16"/>
        <v>3.8342609771181306E-2</v>
      </c>
      <c r="S219">
        <v>195.5</v>
      </c>
      <c r="T219">
        <v>157.9</v>
      </c>
      <c r="U219">
        <v>141.9</v>
      </c>
      <c r="V219">
        <v>155.5</v>
      </c>
      <c r="W219">
        <v>161.5</v>
      </c>
      <c r="X219">
        <v>157.69999999999999</v>
      </c>
      <c r="Y219" s="12">
        <f t="shared" si="17"/>
        <v>-2.9538461538461607E-2</v>
      </c>
      <c r="Z219">
        <v>150.69999999999999</v>
      </c>
      <c r="AA219">
        <v>161.5</v>
      </c>
      <c r="AB219" s="12">
        <f t="shared" si="18"/>
        <v>-5.223004694835684E-2</v>
      </c>
      <c r="AC219">
        <v>149.5</v>
      </c>
      <c r="AD219">
        <v>151.19999999999999</v>
      </c>
      <c r="AE219">
        <v>160.30000000000001</v>
      </c>
      <c r="AF219">
        <v>159.6</v>
      </c>
      <c r="AG219">
        <v>155</v>
      </c>
      <c r="AH219">
        <v>161.80000000000001</v>
      </c>
      <c r="AI219" s="11">
        <f t="shared" si="19"/>
        <v>-8.5784313725488816E-3</v>
      </c>
    </row>
    <row r="220" spans="1:35" x14ac:dyDescent="0.25">
      <c r="A220" t="s">
        <v>33</v>
      </c>
      <c r="B220">
        <v>2021</v>
      </c>
      <c r="C220">
        <v>7</v>
      </c>
      <c r="D220" s="13">
        <f t="shared" si="15"/>
        <v>44378</v>
      </c>
      <c r="E220">
        <v>146.4</v>
      </c>
      <c r="F220">
        <v>206.8</v>
      </c>
      <c r="G220">
        <v>182.2</v>
      </c>
      <c r="H220">
        <v>157.5</v>
      </c>
      <c r="I220">
        <v>182.1</v>
      </c>
      <c r="J220">
        <v>163.9</v>
      </c>
      <c r="K220">
        <v>164.2</v>
      </c>
      <c r="L220">
        <v>164</v>
      </c>
      <c r="M220">
        <v>114.5</v>
      </c>
      <c r="N220">
        <v>168.3</v>
      </c>
      <c r="O220">
        <v>160.9</v>
      </c>
      <c r="P220">
        <v>172.2</v>
      </c>
      <c r="Q220">
        <v>164</v>
      </c>
      <c r="R220" s="12">
        <f t="shared" si="16"/>
        <v>-2.3228111971411589E-2</v>
      </c>
      <c r="S220">
        <v>191.2</v>
      </c>
      <c r="T220">
        <v>162.80000000000001</v>
      </c>
      <c r="U220">
        <v>153.1</v>
      </c>
      <c r="V220">
        <v>161.4</v>
      </c>
      <c r="W220">
        <v>161.5</v>
      </c>
      <c r="X220">
        <v>160.69999999999999</v>
      </c>
      <c r="Y220" s="12">
        <f t="shared" si="17"/>
        <v>1.9023462270133167E-2</v>
      </c>
      <c r="Z220">
        <v>155.80000000000001</v>
      </c>
      <c r="AA220">
        <v>167</v>
      </c>
      <c r="AB220" s="12">
        <f t="shared" si="18"/>
        <v>3.4055727554179564E-2</v>
      </c>
      <c r="AC220">
        <v>153.1</v>
      </c>
      <c r="AD220">
        <v>155.30000000000001</v>
      </c>
      <c r="AE220">
        <v>163.19999999999999</v>
      </c>
      <c r="AF220">
        <v>160.1</v>
      </c>
      <c r="AG220">
        <v>159</v>
      </c>
      <c r="AH220">
        <v>162.5</v>
      </c>
      <c r="AI220" s="11">
        <f t="shared" si="19"/>
        <v>4.3263288009888047E-3</v>
      </c>
    </row>
    <row r="221" spans="1:35" x14ac:dyDescent="0.25">
      <c r="A221" t="s">
        <v>30</v>
      </c>
      <c r="B221">
        <v>2022</v>
      </c>
      <c r="C221">
        <v>7</v>
      </c>
      <c r="D221" s="13">
        <f t="shared" si="15"/>
        <v>44743</v>
      </c>
      <c r="E221">
        <v>155.19999999999999</v>
      </c>
      <c r="F221">
        <v>210.8</v>
      </c>
      <c r="G221">
        <v>174.3</v>
      </c>
      <c r="H221">
        <v>166.3</v>
      </c>
      <c r="I221">
        <v>202.2</v>
      </c>
      <c r="J221">
        <v>169.6</v>
      </c>
      <c r="K221">
        <v>168.6</v>
      </c>
      <c r="L221">
        <v>164.4</v>
      </c>
      <c r="M221">
        <v>119.2</v>
      </c>
      <c r="N221">
        <v>191.8</v>
      </c>
      <c r="O221">
        <v>174.5</v>
      </c>
      <c r="P221">
        <v>183.1</v>
      </c>
      <c r="Q221">
        <v>172.5</v>
      </c>
      <c r="R221" s="12">
        <f t="shared" si="16"/>
        <v>5.1829268292682924E-2</v>
      </c>
      <c r="S221">
        <v>193.2</v>
      </c>
      <c r="T221">
        <v>182</v>
      </c>
      <c r="U221">
        <v>180.3</v>
      </c>
      <c r="V221">
        <v>181.7</v>
      </c>
      <c r="W221" t="s">
        <v>31</v>
      </c>
      <c r="X221">
        <v>179.6</v>
      </c>
      <c r="Y221" s="12">
        <f t="shared" si="17"/>
        <v>0.11761045426260117</v>
      </c>
      <c r="Z221">
        <v>171.3</v>
      </c>
      <c r="AA221">
        <v>178.8</v>
      </c>
      <c r="AB221" s="12">
        <f t="shared" si="18"/>
        <v>7.0658682634730602E-2</v>
      </c>
      <c r="AC221">
        <v>166.3</v>
      </c>
      <c r="AD221">
        <v>168.6</v>
      </c>
      <c r="AE221">
        <v>174.7</v>
      </c>
      <c r="AF221">
        <v>169.7</v>
      </c>
      <c r="AG221">
        <v>171.8</v>
      </c>
      <c r="AH221">
        <v>174.3</v>
      </c>
      <c r="AI221" s="11">
        <f t="shared" si="19"/>
        <v>7.2615384615384679E-2</v>
      </c>
    </row>
    <row r="222" spans="1:35" x14ac:dyDescent="0.25">
      <c r="A222" t="s">
        <v>32</v>
      </c>
      <c r="B222">
        <v>2022</v>
      </c>
      <c r="C222">
        <v>7</v>
      </c>
      <c r="D222" s="13">
        <f t="shared" si="15"/>
        <v>44743</v>
      </c>
      <c r="E222">
        <v>159.30000000000001</v>
      </c>
      <c r="F222">
        <v>217.1</v>
      </c>
      <c r="G222">
        <v>176.6</v>
      </c>
      <c r="H222">
        <v>167.1</v>
      </c>
      <c r="I222">
        <v>184.8</v>
      </c>
      <c r="J222">
        <v>179.5</v>
      </c>
      <c r="K222">
        <v>208.5</v>
      </c>
      <c r="L222">
        <v>164</v>
      </c>
      <c r="M222">
        <v>121.5</v>
      </c>
      <c r="N222">
        <v>186.3</v>
      </c>
      <c r="O222">
        <v>159.80000000000001</v>
      </c>
      <c r="P222">
        <v>187.7</v>
      </c>
      <c r="Q222">
        <v>179.4</v>
      </c>
      <c r="R222" s="12">
        <f t="shared" si="16"/>
        <v>4.0000000000000036E-2</v>
      </c>
      <c r="S222">
        <v>198.6</v>
      </c>
      <c r="T222">
        <v>172.7</v>
      </c>
      <c r="U222">
        <v>158.69999999999999</v>
      </c>
      <c r="V222">
        <v>170.6</v>
      </c>
      <c r="W222">
        <v>167.8</v>
      </c>
      <c r="X222">
        <v>179.5</v>
      </c>
      <c r="Y222" s="12">
        <f t="shared" si="17"/>
        <v>-5.5679287305119326E-4</v>
      </c>
      <c r="Z222">
        <v>163.1</v>
      </c>
      <c r="AA222">
        <v>171.7</v>
      </c>
      <c r="AB222" s="12">
        <f t="shared" si="18"/>
        <v>-3.9709172259507958E-2</v>
      </c>
      <c r="AC222">
        <v>157.4</v>
      </c>
      <c r="AD222">
        <v>164.6</v>
      </c>
      <c r="AE222">
        <v>169.1</v>
      </c>
      <c r="AF222">
        <v>169.8</v>
      </c>
      <c r="AG222">
        <v>164.7</v>
      </c>
      <c r="AH222">
        <v>172.3</v>
      </c>
      <c r="AI222" s="11">
        <f t="shared" si="19"/>
        <v>-1.1474469305794606E-2</v>
      </c>
    </row>
    <row r="223" spans="1:35" x14ac:dyDescent="0.25">
      <c r="A223" t="s">
        <v>33</v>
      </c>
      <c r="B223">
        <v>2022</v>
      </c>
      <c r="C223">
        <v>7</v>
      </c>
      <c r="D223" s="13">
        <f t="shared" si="15"/>
        <v>44743</v>
      </c>
      <c r="E223">
        <v>156.5</v>
      </c>
      <c r="F223">
        <v>213</v>
      </c>
      <c r="G223">
        <v>175.2</v>
      </c>
      <c r="H223">
        <v>166.6</v>
      </c>
      <c r="I223">
        <v>195.8</v>
      </c>
      <c r="J223">
        <v>174.2</v>
      </c>
      <c r="K223">
        <v>182.1</v>
      </c>
      <c r="L223">
        <v>164.3</v>
      </c>
      <c r="M223">
        <v>120</v>
      </c>
      <c r="N223">
        <v>190</v>
      </c>
      <c r="O223">
        <v>168.4</v>
      </c>
      <c r="P223">
        <v>185.2</v>
      </c>
      <c r="Q223">
        <v>175</v>
      </c>
      <c r="R223" s="12">
        <f t="shared" si="16"/>
        <v>-2.4526198439241947E-2</v>
      </c>
      <c r="S223">
        <v>194.6</v>
      </c>
      <c r="T223">
        <v>178.3</v>
      </c>
      <c r="U223">
        <v>171.3</v>
      </c>
      <c r="V223">
        <v>177.3</v>
      </c>
      <c r="W223">
        <v>167.8</v>
      </c>
      <c r="X223">
        <v>179.6</v>
      </c>
      <c r="Y223" s="12">
        <f t="shared" si="17"/>
        <v>5.5710306406682073E-4</v>
      </c>
      <c r="Z223">
        <v>167.4</v>
      </c>
      <c r="AA223">
        <v>176.1</v>
      </c>
      <c r="AB223" s="12">
        <f t="shared" si="18"/>
        <v>2.5626092020966839E-2</v>
      </c>
      <c r="AC223">
        <v>161.6</v>
      </c>
      <c r="AD223">
        <v>166.3</v>
      </c>
      <c r="AE223">
        <v>171.4</v>
      </c>
      <c r="AF223">
        <v>169.7</v>
      </c>
      <c r="AG223">
        <v>168.4</v>
      </c>
      <c r="AH223">
        <v>173.4</v>
      </c>
      <c r="AI223" s="11">
        <f t="shared" si="19"/>
        <v>6.3842135809634021E-3</v>
      </c>
    </row>
    <row r="224" spans="1:35" x14ac:dyDescent="0.25">
      <c r="A224" t="s">
        <v>30</v>
      </c>
      <c r="B224">
        <v>2013</v>
      </c>
      <c r="C224">
        <v>8</v>
      </c>
      <c r="D224" s="13">
        <f t="shared" si="15"/>
        <v>41487</v>
      </c>
      <c r="E224">
        <v>114.3</v>
      </c>
      <c r="F224">
        <v>115.4</v>
      </c>
      <c r="G224">
        <v>111.1</v>
      </c>
      <c r="H224">
        <v>110</v>
      </c>
      <c r="I224">
        <v>106.4</v>
      </c>
      <c r="J224">
        <v>110.8</v>
      </c>
      <c r="K224">
        <v>138.9</v>
      </c>
      <c r="L224">
        <v>107.4</v>
      </c>
      <c r="M224">
        <v>104.1</v>
      </c>
      <c r="N224">
        <v>106.9</v>
      </c>
      <c r="O224">
        <v>109.7</v>
      </c>
      <c r="P224">
        <v>112.6</v>
      </c>
      <c r="Q224">
        <v>114.9</v>
      </c>
      <c r="R224" s="12">
        <f t="shared" si="16"/>
        <v>-0.34342857142857142</v>
      </c>
      <c r="S224">
        <v>110.7</v>
      </c>
      <c r="T224">
        <v>111.3</v>
      </c>
      <c r="U224">
        <v>110.2</v>
      </c>
      <c r="V224">
        <v>111.1</v>
      </c>
      <c r="W224" t="s">
        <v>31</v>
      </c>
      <c r="X224">
        <v>109.9</v>
      </c>
      <c r="Y224" s="12">
        <f t="shared" si="17"/>
        <v>-0.38808463251670372</v>
      </c>
      <c r="Z224">
        <v>108.7</v>
      </c>
      <c r="AA224">
        <v>107.5</v>
      </c>
      <c r="AB224" s="12">
        <f t="shared" si="18"/>
        <v>-0.38955139125496874</v>
      </c>
      <c r="AC224">
        <v>107.8</v>
      </c>
      <c r="AD224">
        <v>106.8</v>
      </c>
      <c r="AE224">
        <v>108.7</v>
      </c>
      <c r="AF224">
        <v>105</v>
      </c>
      <c r="AG224">
        <v>107.5</v>
      </c>
      <c r="AH224">
        <v>112.1</v>
      </c>
      <c r="AI224" s="11">
        <f t="shared" si="19"/>
        <v>-0.35351787773933108</v>
      </c>
    </row>
    <row r="225" spans="1:35" x14ac:dyDescent="0.25">
      <c r="A225" t="s">
        <v>32</v>
      </c>
      <c r="B225">
        <v>2013</v>
      </c>
      <c r="C225">
        <v>8</v>
      </c>
      <c r="D225" s="13">
        <f t="shared" si="15"/>
        <v>41487</v>
      </c>
      <c r="E225">
        <v>118.3</v>
      </c>
      <c r="F225">
        <v>120.4</v>
      </c>
      <c r="G225">
        <v>112.7</v>
      </c>
      <c r="H225">
        <v>108.9</v>
      </c>
      <c r="I225">
        <v>101.1</v>
      </c>
      <c r="J225">
        <v>108.7</v>
      </c>
      <c r="K225">
        <v>177</v>
      </c>
      <c r="L225">
        <v>104.7</v>
      </c>
      <c r="M225">
        <v>101</v>
      </c>
      <c r="N225">
        <v>108.5</v>
      </c>
      <c r="O225">
        <v>110.9</v>
      </c>
      <c r="P225">
        <v>114.3</v>
      </c>
      <c r="Q225">
        <v>119.6</v>
      </c>
      <c r="R225" s="12">
        <f t="shared" si="16"/>
        <v>4.0905134899912869E-2</v>
      </c>
      <c r="S225">
        <v>112.4</v>
      </c>
      <c r="T225">
        <v>110.6</v>
      </c>
      <c r="U225">
        <v>108.3</v>
      </c>
      <c r="V225">
        <v>110.2</v>
      </c>
      <c r="W225">
        <v>108.9</v>
      </c>
      <c r="X225">
        <v>109.3</v>
      </c>
      <c r="Y225" s="12">
        <f t="shared" si="17"/>
        <v>-5.4595086442220976E-3</v>
      </c>
      <c r="Z225">
        <v>108.7</v>
      </c>
      <c r="AA225">
        <v>107.6</v>
      </c>
      <c r="AB225" s="12">
        <f t="shared" si="18"/>
        <v>9.3023255813948203E-4</v>
      </c>
      <c r="AC225">
        <v>108.1</v>
      </c>
      <c r="AD225">
        <v>106.5</v>
      </c>
      <c r="AE225">
        <v>110.8</v>
      </c>
      <c r="AF225">
        <v>106</v>
      </c>
      <c r="AG225">
        <v>108.3</v>
      </c>
      <c r="AH225">
        <v>112.7</v>
      </c>
      <c r="AI225" s="11">
        <f t="shared" si="19"/>
        <v>5.3523639607494077E-3</v>
      </c>
    </row>
    <row r="226" spans="1:35" x14ac:dyDescent="0.25">
      <c r="A226" t="s">
        <v>33</v>
      </c>
      <c r="B226">
        <v>2013</v>
      </c>
      <c r="C226">
        <v>8</v>
      </c>
      <c r="D226" s="13">
        <f t="shared" si="15"/>
        <v>41487</v>
      </c>
      <c r="E226">
        <v>115.6</v>
      </c>
      <c r="F226">
        <v>117.2</v>
      </c>
      <c r="G226">
        <v>111.7</v>
      </c>
      <c r="H226">
        <v>109.6</v>
      </c>
      <c r="I226">
        <v>104.5</v>
      </c>
      <c r="J226">
        <v>109.8</v>
      </c>
      <c r="K226">
        <v>151.80000000000001</v>
      </c>
      <c r="L226">
        <v>106.5</v>
      </c>
      <c r="M226">
        <v>103.1</v>
      </c>
      <c r="N226">
        <v>107.4</v>
      </c>
      <c r="O226">
        <v>110.2</v>
      </c>
      <c r="P226">
        <v>113.4</v>
      </c>
      <c r="Q226">
        <v>116.6</v>
      </c>
      <c r="R226" s="12">
        <f t="shared" si="16"/>
        <v>-2.508361204013378E-2</v>
      </c>
      <c r="S226">
        <v>111.2</v>
      </c>
      <c r="T226">
        <v>111</v>
      </c>
      <c r="U226">
        <v>109.4</v>
      </c>
      <c r="V226">
        <v>110.7</v>
      </c>
      <c r="W226">
        <v>108.9</v>
      </c>
      <c r="X226">
        <v>109.7</v>
      </c>
      <c r="Y226" s="12">
        <f t="shared" si="17"/>
        <v>3.6596523330284145E-3</v>
      </c>
      <c r="Z226">
        <v>108.7</v>
      </c>
      <c r="AA226">
        <v>107.5</v>
      </c>
      <c r="AB226" s="12">
        <f t="shared" si="18"/>
        <v>-9.2936802973972422E-4</v>
      </c>
      <c r="AC226">
        <v>108</v>
      </c>
      <c r="AD226">
        <v>106.6</v>
      </c>
      <c r="AE226">
        <v>109.9</v>
      </c>
      <c r="AF226">
        <v>105.4</v>
      </c>
      <c r="AG226">
        <v>107.9</v>
      </c>
      <c r="AH226">
        <v>112.4</v>
      </c>
      <c r="AI226" s="11">
        <f t="shared" si="19"/>
        <v>-2.6619343389529472E-3</v>
      </c>
    </row>
    <row r="227" spans="1:35" x14ac:dyDescent="0.25">
      <c r="A227" t="s">
        <v>30</v>
      </c>
      <c r="B227">
        <v>2014</v>
      </c>
      <c r="C227">
        <v>8</v>
      </c>
      <c r="D227" s="13">
        <f t="shared" si="15"/>
        <v>41852</v>
      </c>
      <c r="E227">
        <v>121.8</v>
      </c>
      <c r="F227">
        <v>122.8</v>
      </c>
      <c r="G227">
        <v>117.8</v>
      </c>
      <c r="H227">
        <v>121.9</v>
      </c>
      <c r="I227">
        <v>110.6</v>
      </c>
      <c r="J227">
        <v>129.69999999999999</v>
      </c>
      <c r="K227">
        <v>161.1</v>
      </c>
      <c r="L227">
        <v>114.1</v>
      </c>
      <c r="M227">
        <v>105.1</v>
      </c>
      <c r="N227">
        <v>114.6</v>
      </c>
      <c r="O227">
        <v>115.8</v>
      </c>
      <c r="P227">
        <v>121.7</v>
      </c>
      <c r="Q227">
        <v>125.3</v>
      </c>
      <c r="R227" s="12">
        <f t="shared" si="16"/>
        <v>7.461406518010294E-2</v>
      </c>
      <c r="S227">
        <v>118.8</v>
      </c>
      <c r="T227">
        <v>120.9</v>
      </c>
      <c r="U227">
        <v>118.8</v>
      </c>
      <c r="V227">
        <v>120.7</v>
      </c>
      <c r="W227" t="s">
        <v>31</v>
      </c>
      <c r="X227">
        <v>115.4</v>
      </c>
      <c r="Y227" s="12">
        <f t="shared" si="17"/>
        <v>5.1959890610756634E-2</v>
      </c>
      <c r="Z227">
        <v>115.9</v>
      </c>
      <c r="AA227">
        <v>114</v>
      </c>
      <c r="AB227" s="12">
        <f t="shared" si="18"/>
        <v>6.0465116279069767E-2</v>
      </c>
      <c r="AC227">
        <v>113.2</v>
      </c>
      <c r="AD227">
        <v>112.2</v>
      </c>
      <c r="AE227">
        <v>116.2</v>
      </c>
      <c r="AF227">
        <v>109.4</v>
      </c>
      <c r="AG227">
        <v>113.5</v>
      </c>
      <c r="AH227">
        <v>120.7</v>
      </c>
      <c r="AI227" s="11">
        <f t="shared" si="19"/>
        <v>7.3843416370106732E-2</v>
      </c>
    </row>
    <row r="228" spans="1:35" x14ac:dyDescent="0.25">
      <c r="A228" t="s">
        <v>32</v>
      </c>
      <c r="B228">
        <v>2014</v>
      </c>
      <c r="C228">
        <v>8</v>
      </c>
      <c r="D228" s="13">
        <f t="shared" si="15"/>
        <v>41852</v>
      </c>
      <c r="E228">
        <v>124.8</v>
      </c>
      <c r="F228">
        <v>127.3</v>
      </c>
      <c r="G228">
        <v>116.5</v>
      </c>
      <c r="H228">
        <v>122.2</v>
      </c>
      <c r="I228">
        <v>103.6</v>
      </c>
      <c r="J228">
        <v>132.69999999999999</v>
      </c>
      <c r="K228">
        <v>181.9</v>
      </c>
      <c r="L228">
        <v>115.2</v>
      </c>
      <c r="M228">
        <v>102.7</v>
      </c>
      <c r="N228">
        <v>122.1</v>
      </c>
      <c r="O228">
        <v>114.4</v>
      </c>
      <c r="P228">
        <v>124.7</v>
      </c>
      <c r="Q228">
        <v>128.9</v>
      </c>
      <c r="R228" s="12">
        <f t="shared" si="16"/>
        <v>2.8731045490822095E-2</v>
      </c>
      <c r="S228">
        <v>123</v>
      </c>
      <c r="T228">
        <v>118.6</v>
      </c>
      <c r="U228">
        <v>114.1</v>
      </c>
      <c r="V228">
        <v>117.9</v>
      </c>
      <c r="W228">
        <v>115.5</v>
      </c>
      <c r="X228">
        <v>111.8</v>
      </c>
      <c r="Y228" s="12">
        <f t="shared" si="17"/>
        <v>-3.1195840554592794E-2</v>
      </c>
      <c r="Z228">
        <v>115.3</v>
      </c>
      <c r="AA228">
        <v>112.2</v>
      </c>
      <c r="AB228" s="12">
        <f t="shared" si="18"/>
        <v>-1.5789473684210503E-2</v>
      </c>
      <c r="AC228">
        <v>112.5</v>
      </c>
      <c r="AD228">
        <v>112.9</v>
      </c>
      <c r="AE228">
        <v>119.2</v>
      </c>
      <c r="AF228">
        <v>110.5</v>
      </c>
      <c r="AG228">
        <v>113.9</v>
      </c>
      <c r="AH228">
        <v>119.9</v>
      </c>
      <c r="AI228" s="11">
        <f t="shared" si="19"/>
        <v>-6.6280033140016332E-3</v>
      </c>
    </row>
    <row r="229" spans="1:35" x14ac:dyDescent="0.25">
      <c r="A229" t="s">
        <v>33</v>
      </c>
      <c r="B229">
        <v>2014</v>
      </c>
      <c r="C229">
        <v>8</v>
      </c>
      <c r="D229" s="13">
        <f t="shared" si="15"/>
        <v>41852</v>
      </c>
      <c r="E229">
        <v>122.7</v>
      </c>
      <c r="F229">
        <v>124.4</v>
      </c>
      <c r="G229">
        <v>117.3</v>
      </c>
      <c r="H229">
        <v>122</v>
      </c>
      <c r="I229">
        <v>108</v>
      </c>
      <c r="J229">
        <v>131.1</v>
      </c>
      <c r="K229">
        <v>168.2</v>
      </c>
      <c r="L229">
        <v>114.5</v>
      </c>
      <c r="M229">
        <v>104.3</v>
      </c>
      <c r="N229">
        <v>117.1</v>
      </c>
      <c r="O229">
        <v>115.2</v>
      </c>
      <c r="P229">
        <v>123.1</v>
      </c>
      <c r="Q229">
        <v>126.6</v>
      </c>
      <c r="R229" s="12">
        <f t="shared" si="16"/>
        <v>-1.7843289371605984E-2</v>
      </c>
      <c r="S229">
        <v>119.9</v>
      </c>
      <c r="T229">
        <v>120</v>
      </c>
      <c r="U229">
        <v>116.8</v>
      </c>
      <c r="V229">
        <v>119.6</v>
      </c>
      <c r="W229">
        <v>115.5</v>
      </c>
      <c r="X229">
        <v>114</v>
      </c>
      <c r="Y229" s="12">
        <f t="shared" si="17"/>
        <v>1.9677996422182494E-2</v>
      </c>
      <c r="Z229">
        <v>115.6</v>
      </c>
      <c r="AA229">
        <v>113.3</v>
      </c>
      <c r="AB229" s="12">
        <f t="shared" si="18"/>
        <v>9.8039215686274005E-3</v>
      </c>
      <c r="AC229">
        <v>112.8</v>
      </c>
      <c r="AD229">
        <v>112.6</v>
      </c>
      <c r="AE229">
        <v>118</v>
      </c>
      <c r="AF229">
        <v>109.9</v>
      </c>
      <c r="AG229">
        <v>113.7</v>
      </c>
      <c r="AH229">
        <v>120.3</v>
      </c>
      <c r="AI229" s="11">
        <f t="shared" si="19"/>
        <v>3.3361134278564759E-3</v>
      </c>
    </row>
    <row r="230" spans="1:35" x14ac:dyDescent="0.25">
      <c r="A230" t="s">
        <v>30</v>
      </c>
      <c r="B230">
        <v>2015</v>
      </c>
      <c r="C230">
        <v>8</v>
      </c>
      <c r="D230" s="13">
        <f t="shared" si="15"/>
        <v>42217</v>
      </c>
      <c r="E230">
        <v>124.7</v>
      </c>
      <c r="F230">
        <v>131.30000000000001</v>
      </c>
      <c r="G230">
        <v>121.3</v>
      </c>
      <c r="H230">
        <v>128.80000000000001</v>
      </c>
      <c r="I230">
        <v>114</v>
      </c>
      <c r="J230">
        <v>134.19999999999999</v>
      </c>
      <c r="K230">
        <v>153.6</v>
      </c>
      <c r="L230">
        <v>137.9</v>
      </c>
      <c r="M230">
        <v>93.1</v>
      </c>
      <c r="N230">
        <v>123.9</v>
      </c>
      <c r="O230">
        <v>121.5</v>
      </c>
      <c r="P230">
        <v>132.5</v>
      </c>
      <c r="Q230">
        <v>129.80000000000001</v>
      </c>
      <c r="R230" s="12">
        <f t="shared" si="16"/>
        <v>2.5276461295418776E-2</v>
      </c>
      <c r="S230">
        <v>130.1</v>
      </c>
      <c r="T230">
        <v>129.5</v>
      </c>
      <c r="U230">
        <v>126.3</v>
      </c>
      <c r="V230">
        <v>129</v>
      </c>
      <c r="W230" t="s">
        <v>31</v>
      </c>
      <c r="X230">
        <v>123.8</v>
      </c>
      <c r="Y230" s="12">
        <f t="shared" si="17"/>
        <v>8.596491228070173E-2</v>
      </c>
      <c r="Z230">
        <v>123.7</v>
      </c>
      <c r="AA230">
        <v>121.1</v>
      </c>
      <c r="AB230" s="12">
        <f t="shared" si="18"/>
        <v>6.8843777581641633E-2</v>
      </c>
      <c r="AC230">
        <v>113.6</v>
      </c>
      <c r="AD230">
        <v>118.5</v>
      </c>
      <c r="AE230">
        <v>123.6</v>
      </c>
      <c r="AF230">
        <v>112.5</v>
      </c>
      <c r="AG230">
        <v>118.2</v>
      </c>
      <c r="AH230">
        <v>126.1</v>
      </c>
      <c r="AI230" s="11">
        <f t="shared" si="19"/>
        <v>4.8212801330008291E-2</v>
      </c>
    </row>
    <row r="231" spans="1:35" x14ac:dyDescent="0.25">
      <c r="A231" t="s">
        <v>32</v>
      </c>
      <c r="B231">
        <v>2015</v>
      </c>
      <c r="C231">
        <v>8</v>
      </c>
      <c r="D231" s="13">
        <f t="shared" si="15"/>
        <v>42217</v>
      </c>
      <c r="E231">
        <v>123.1</v>
      </c>
      <c r="F231">
        <v>131.69999999999999</v>
      </c>
      <c r="G231">
        <v>118.1</v>
      </c>
      <c r="H231">
        <v>128</v>
      </c>
      <c r="I231">
        <v>106.8</v>
      </c>
      <c r="J231">
        <v>130.1</v>
      </c>
      <c r="K231">
        <v>165.5</v>
      </c>
      <c r="L231">
        <v>156</v>
      </c>
      <c r="M231">
        <v>85.3</v>
      </c>
      <c r="N231">
        <v>132.69999999999999</v>
      </c>
      <c r="O231">
        <v>118.8</v>
      </c>
      <c r="P231">
        <v>131.69999999999999</v>
      </c>
      <c r="Q231">
        <v>131.1</v>
      </c>
      <c r="R231" s="12">
        <f t="shared" si="16"/>
        <v>1.0015408320492934E-2</v>
      </c>
      <c r="S231">
        <v>134.19999999999999</v>
      </c>
      <c r="T231">
        <v>123.7</v>
      </c>
      <c r="U231">
        <v>118.2</v>
      </c>
      <c r="V231">
        <v>122.9</v>
      </c>
      <c r="W231">
        <v>120.9</v>
      </c>
      <c r="X231">
        <v>115.3</v>
      </c>
      <c r="Y231" s="12">
        <f t="shared" si="17"/>
        <v>-6.8659127625201946E-2</v>
      </c>
      <c r="Z231">
        <v>120</v>
      </c>
      <c r="AA231">
        <v>116.6</v>
      </c>
      <c r="AB231" s="12">
        <f t="shared" si="18"/>
        <v>-3.7159372419488031E-2</v>
      </c>
      <c r="AC231">
        <v>109.9</v>
      </c>
      <c r="AD231">
        <v>117.2</v>
      </c>
      <c r="AE231">
        <v>126.2</v>
      </c>
      <c r="AF231">
        <v>112</v>
      </c>
      <c r="AG231">
        <v>116.2</v>
      </c>
      <c r="AH231">
        <v>123.2</v>
      </c>
      <c r="AI231" s="11">
        <f t="shared" si="19"/>
        <v>-2.2997620935765198E-2</v>
      </c>
    </row>
    <row r="232" spans="1:35" x14ac:dyDescent="0.25">
      <c r="A232" t="s">
        <v>33</v>
      </c>
      <c r="B232">
        <v>2015</v>
      </c>
      <c r="C232">
        <v>8</v>
      </c>
      <c r="D232" s="13">
        <f t="shared" si="15"/>
        <v>42217</v>
      </c>
      <c r="E232">
        <v>124.2</v>
      </c>
      <c r="F232">
        <v>131.4</v>
      </c>
      <c r="G232">
        <v>120.1</v>
      </c>
      <c r="H232">
        <v>128.5</v>
      </c>
      <c r="I232">
        <v>111.4</v>
      </c>
      <c r="J232">
        <v>132.30000000000001</v>
      </c>
      <c r="K232">
        <v>157.6</v>
      </c>
      <c r="L232">
        <v>144</v>
      </c>
      <c r="M232">
        <v>90.5</v>
      </c>
      <c r="N232">
        <v>126.8</v>
      </c>
      <c r="O232">
        <v>120.4</v>
      </c>
      <c r="P232">
        <v>132.1</v>
      </c>
      <c r="Q232">
        <v>130.30000000000001</v>
      </c>
      <c r="R232" s="12">
        <f t="shared" si="16"/>
        <v>-6.1022120518686726E-3</v>
      </c>
      <c r="S232">
        <v>131.19999999999999</v>
      </c>
      <c r="T232">
        <v>127.2</v>
      </c>
      <c r="U232">
        <v>122.9</v>
      </c>
      <c r="V232">
        <v>126.6</v>
      </c>
      <c r="W232">
        <v>120.9</v>
      </c>
      <c r="X232">
        <v>120.6</v>
      </c>
      <c r="Y232" s="12">
        <f t="shared" si="17"/>
        <v>4.596704249783172E-2</v>
      </c>
      <c r="Z232">
        <v>122</v>
      </c>
      <c r="AA232">
        <v>119.4</v>
      </c>
      <c r="AB232" s="12">
        <f t="shared" si="18"/>
        <v>2.4013722126929773E-2</v>
      </c>
      <c r="AC232">
        <v>111.7</v>
      </c>
      <c r="AD232">
        <v>117.8</v>
      </c>
      <c r="AE232">
        <v>125.1</v>
      </c>
      <c r="AF232">
        <v>112.3</v>
      </c>
      <c r="AG232">
        <v>117.2</v>
      </c>
      <c r="AH232">
        <v>124.8</v>
      </c>
      <c r="AI232" s="11">
        <f t="shared" si="19"/>
        <v>1.2987012987012941E-2</v>
      </c>
    </row>
    <row r="233" spans="1:35" x14ac:dyDescent="0.25">
      <c r="A233" t="s">
        <v>30</v>
      </c>
      <c r="B233">
        <v>2016</v>
      </c>
      <c r="C233">
        <v>8</v>
      </c>
      <c r="D233" s="13">
        <f t="shared" si="15"/>
        <v>42583</v>
      </c>
      <c r="E233">
        <v>130.1</v>
      </c>
      <c r="F233">
        <v>138.80000000000001</v>
      </c>
      <c r="G233">
        <v>130.30000000000001</v>
      </c>
      <c r="H233">
        <v>135.30000000000001</v>
      </c>
      <c r="I233">
        <v>119.9</v>
      </c>
      <c r="J233">
        <v>140.19999999999999</v>
      </c>
      <c r="K233">
        <v>156.9</v>
      </c>
      <c r="L233">
        <v>172.2</v>
      </c>
      <c r="M233">
        <v>112.1</v>
      </c>
      <c r="N233">
        <v>134.9</v>
      </c>
      <c r="O233">
        <v>128.1</v>
      </c>
      <c r="P233">
        <v>140.69999999999999</v>
      </c>
      <c r="Q233">
        <v>138</v>
      </c>
      <c r="R233" s="12">
        <f t="shared" si="16"/>
        <v>5.9094397544128839E-2</v>
      </c>
      <c r="S233">
        <v>138.9</v>
      </c>
      <c r="T233">
        <v>137.80000000000001</v>
      </c>
      <c r="U233">
        <v>133</v>
      </c>
      <c r="V233">
        <v>137.1</v>
      </c>
      <c r="W233" t="s">
        <v>31</v>
      </c>
      <c r="X233">
        <v>129.1</v>
      </c>
      <c r="Y233" s="12">
        <f t="shared" si="17"/>
        <v>7.0480928689883912E-2</v>
      </c>
      <c r="Z233">
        <v>130.6</v>
      </c>
      <c r="AA233">
        <v>127</v>
      </c>
      <c r="AB233" s="12">
        <f t="shared" si="18"/>
        <v>6.3651591289782192E-2</v>
      </c>
      <c r="AC233">
        <v>116</v>
      </c>
      <c r="AD233">
        <v>125.5</v>
      </c>
      <c r="AE233">
        <v>131.9</v>
      </c>
      <c r="AF233">
        <v>122</v>
      </c>
      <c r="AG233">
        <v>124.2</v>
      </c>
      <c r="AH233">
        <v>133.5</v>
      </c>
      <c r="AI233" s="11">
        <f t="shared" si="19"/>
        <v>6.9711538461538491E-2</v>
      </c>
    </row>
    <row r="234" spans="1:35" x14ac:dyDescent="0.25">
      <c r="A234" t="s">
        <v>32</v>
      </c>
      <c r="B234">
        <v>2016</v>
      </c>
      <c r="C234">
        <v>8</v>
      </c>
      <c r="D234" s="13">
        <f t="shared" si="15"/>
        <v>42583</v>
      </c>
      <c r="E234">
        <v>127.6</v>
      </c>
      <c r="F234">
        <v>140.30000000000001</v>
      </c>
      <c r="G234">
        <v>133.69999999999999</v>
      </c>
      <c r="H234">
        <v>132.19999999999999</v>
      </c>
      <c r="I234">
        <v>111.8</v>
      </c>
      <c r="J234">
        <v>135.80000000000001</v>
      </c>
      <c r="K234">
        <v>163.5</v>
      </c>
      <c r="L234">
        <v>182.3</v>
      </c>
      <c r="M234">
        <v>114.6</v>
      </c>
      <c r="N234">
        <v>144.6</v>
      </c>
      <c r="O234">
        <v>121.9</v>
      </c>
      <c r="P234">
        <v>138.1</v>
      </c>
      <c r="Q234">
        <v>137.6</v>
      </c>
      <c r="R234" s="12">
        <f t="shared" si="16"/>
        <v>-2.8985507246377224E-3</v>
      </c>
      <c r="S234">
        <v>143.6</v>
      </c>
      <c r="T234">
        <v>128.30000000000001</v>
      </c>
      <c r="U234">
        <v>121.4</v>
      </c>
      <c r="V234">
        <v>127.3</v>
      </c>
      <c r="W234">
        <v>127.3</v>
      </c>
      <c r="X234">
        <v>114.7</v>
      </c>
      <c r="Y234" s="12">
        <f t="shared" si="17"/>
        <v>-0.11154144074360954</v>
      </c>
      <c r="Z234">
        <v>123.9</v>
      </c>
      <c r="AA234">
        <v>121.2</v>
      </c>
      <c r="AB234" s="12">
        <f t="shared" si="18"/>
        <v>-4.5669291338582656E-2</v>
      </c>
      <c r="AC234">
        <v>110.4</v>
      </c>
      <c r="AD234">
        <v>120.6</v>
      </c>
      <c r="AE234">
        <v>131.5</v>
      </c>
      <c r="AF234">
        <v>120.9</v>
      </c>
      <c r="AG234">
        <v>119.9</v>
      </c>
      <c r="AH234">
        <v>128.4</v>
      </c>
      <c r="AI234" s="11">
        <f t="shared" si="19"/>
        <v>-3.8202247191011195E-2</v>
      </c>
    </row>
    <row r="235" spans="1:35" x14ac:dyDescent="0.25">
      <c r="A235" t="s">
        <v>33</v>
      </c>
      <c r="B235">
        <v>2016</v>
      </c>
      <c r="C235">
        <v>8</v>
      </c>
      <c r="D235" s="13">
        <f t="shared" si="15"/>
        <v>42583</v>
      </c>
      <c r="E235">
        <v>129.30000000000001</v>
      </c>
      <c r="F235">
        <v>139.30000000000001</v>
      </c>
      <c r="G235">
        <v>131.6</v>
      </c>
      <c r="H235">
        <v>134.1</v>
      </c>
      <c r="I235">
        <v>116.9</v>
      </c>
      <c r="J235">
        <v>138.1</v>
      </c>
      <c r="K235">
        <v>159.1</v>
      </c>
      <c r="L235">
        <v>175.6</v>
      </c>
      <c r="M235">
        <v>112.9</v>
      </c>
      <c r="N235">
        <v>138.1</v>
      </c>
      <c r="O235">
        <v>125.5</v>
      </c>
      <c r="P235">
        <v>139.5</v>
      </c>
      <c r="Q235">
        <v>137.9</v>
      </c>
      <c r="R235" s="12">
        <f t="shared" si="16"/>
        <v>2.1802325581396177E-3</v>
      </c>
      <c r="S235">
        <v>140.19999999999999</v>
      </c>
      <c r="T235">
        <v>134.1</v>
      </c>
      <c r="U235">
        <v>128.19999999999999</v>
      </c>
      <c r="V235">
        <v>133.19999999999999</v>
      </c>
      <c r="W235">
        <v>127.3</v>
      </c>
      <c r="X235">
        <v>123.6</v>
      </c>
      <c r="Y235" s="12">
        <f t="shared" si="17"/>
        <v>7.7593722755013E-2</v>
      </c>
      <c r="Z235">
        <v>127.4</v>
      </c>
      <c r="AA235">
        <v>124.8</v>
      </c>
      <c r="AB235" s="12">
        <f t="shared" si="18"/>
        <v>2.9702970297029656E-2</v>
      </c>
      <c r="AC235">
        <v>113.1</v>
      </c>
      <c r="AD235">
        <v>122.7</v>
      </c>
      <c r="AE235">
        <v>131.69999999999999</v>
      </c>
      <c r="AF235">
        <v>121.5</v>
      </c>
      <c r="AG235">
        <v>122.1</v>
      </c>
      <c r="AH235">
        <v>131.1</v>
      </c>
      <c r="AI235" s="11">
        <f t="shared" si="19"/>
        <v>2.1028037383177482E-2</v>
      </c>
    </row>
    <row r="236" spans="1:35" x14ac:dyDescent="0.25">
      <c r="A236" t="s">
        <v>30</v>
      </c>
      <c r="B236">
        <v>2017</v>
      </c>
      <c r="C236">
        <v>8</v>
      </c>
      <c r="D236" s="13">
        <f t="shared" si="15"/>
        <v>42948</v>
      </c>
      <c r="E236">
        <v>134.80000000000001</v>
      </c>
      <c r="F236">
        <v>143.1</v>
      </c>
      <c r="G236">
        <v>130</v>
      </c>
      <c r="H236">
        <v>139.4</v>
      </c>
      <c r="I236">
        <v>120.5</v>
      </c>
      <c r="J236">
        <v>148</v>
      </c>
      <c r="K236">
        <v>162.9</v>
      </c>
      <c r="L236">
        <v>137.4</v>
      </c>
      <c r="M236">
        <v>120.8</v>
      </c>
      <c r="N236">
        <v>134.69999999999999</v>
      </c>
      <c r="O236">
        <v>131.6</v>
      </c>
      <c r="P236">
        <v>148.69999999999999</v>
      </c>
      <c r="Q236">
        <v>140.6</v>
      </c>
      <c r="R236" s="12">
        <f t="shared" si="16"/>
        <v>1.9579405366207312E-2</v>
      </c>
      <c r="S236">
        <v>149</v>
      </c>
      <c r="T236">
        <v>145.30000000000001</v>
      </c>
      <c r="U236">
        <v>139.19999999999999</v>
      </c>
      <c r="V236">
        <v>144.5</v>
      </c>
      <c r="W236" t="s">
        <v>31</v>
      </c>
      <c r="X236">
        <v>136.4</v>
      </c>
      <c r="Y236" s="12">
        <f t="shared" si="17"/>
        <v>0.10355987055016191</v>
      </c>
      <c r="Z236">
        <v>137.30000000000001</v>
      </c>
      <c r="AA236">
        <v>133</v>
      </c>
      <c r="AB236" s="12">
        <f t="shared" si="18"/>
        <v>6.5705128205128235E-2</v>
      </c>
      <c r="AC236">
        <v>120.3</v>
      </c>
      <c r="AD236">
        <v>131.5</v>
      </c>
      <c r="AE236">
        <v>140.19999999999999</v>
      </c>
      <c r="AF236">
        <v>125.4</v>
      </c>
      <c r="AG236">
        <v>129.69999999999999</v>
      </c>
      <c r="AH236">
        <v>137.80000000000001</v>
      </c>
      <c r="AI236" s="11">
        <f t="shared" si="19"/>
        <v>5.1106025934401354E-2</v>
      </c>
    </row>
    <row r="237" spans="1:35" x14ac:dyDescent="0.25">
      <c r="A237" t="s">
        <v>32</v>
      </c>
      <c r="B237">
        <v>2017</v>
      </c>
      <c r="C237">
        <v>8</v>
      </c>
      <c r="D237" s="13">
        <f t="shared" si="15"/>
        <v>42948</v>
      </c>
      <c r="E237">
        <v>133.19999999999999</v>
      </c>
      <c r="F237">
        <v>143.9</v>
      </c>
      <c r="G237">
        <v>128.30000000000001</v>
      </c>
      <c r="H237">
        <v>138.30000000000001</v>
      </c>
      <c r="I237">
        <v>114.1</v>
      </c>
      <c r="J237">
        <v>142.69999999999999</v>
      </c>
      <c r="K237">
        <v>179.8</v>
      </c>
      <c r="L237">
        <v>123.5</v>
      </c>
      <c r="M237">
        <v>122.1</v>
      </c>
      <c r="N237">
        <v>137.5</v>
      </c>
      <c r="O237">
        <v>124.6</v>
      </c>
      <c r="P237">
        <v>144.5</v>
      </c>
      <c r="Q237">
        <v>140.5</v>
      </c>
      <c r="R237" s="12">
        <f t="shared" si="16"/>
        <v>-7.1123755334277609E-4</v>
      </c>
      <c r="S237">
        <v>152.1</v>
      </c>
      <c r="T237">
        <v>132.69999999999999</v>
      </c>
      <c r="U237">
        <v>124.3</v>
      </c>
      <c r="V237">
        <v>131.4</v>
      </c>
      <c r="W237">
        <v>134.4</v>
      </c>
      <c r="X237">
        <v>118.9</v>
      </c>
      <c r="Y237" s="12">
        <f t="shared" si="17"/>
        <v>-0.1282991202346041</v>
      </c>
      <c r="Z237">
        <v>127.7</v>
      </c>
      <c r="AA237">
        <v>125.7</v>
      </c>
      <c r="AB237" s="12">
        <f t="shared" si="18"/>
        <v>-5.4887218045112762E-2</v>
      </c>
      <c r="AC237">
        <v>114.6</v>
      </c>
      <c r="AD237">
        <v>124.1</v>
      </c>
      <c r="AE237">
        <v>135.69999999999999</v>
      </c>
      <c r="AF237">
        <v>123.3</v>
      </c>
      <c r="AG237">
        <v>123.8</v>
      </c>
      <c r="AH237">
        <v>132.69999999999999</v>
      </c>
      <c r="AI237" s="11">
        <f t="shared" si="19"/>
        <v>-3.7010159651669247E-2</v>
      </c>
    </row>
    <row r="238" spans="1:35" x14ac:dyDescent="0.25">
      <c r="A238" t="s">
        <v>33</v>
      </c>
      <c r="B238">
        <v>2017</v>
      </c>
      <c r="C238">
        <v>8</v>
      </c>
      <c r="D238" s="13">
        <f t="shared" si="15"/>
        <v>42948</v>
      </c>
      <c r="E238">
        <v>134.30000000000001</v>
      </c>
      <c r="F238">
        <v>143.4</v>
      </c>
      <c r="G238">
        <v>129.30000000000001</v>
      </c>
      <c r="H238">
        <v>139</v>
      </c>
      <c r="I238">
        <v>118.1</v>
      </c>
      <c r="J238">
        <v>145.5</v>
      </c>
      <c r="K238">
        <v>168.6</v>
      </c>
      <c r="L238">
        <v>132.69999999999999</v>
      </c>
      <c r="M238">
        <v>121.2</v>
      </c>
      <c r="N238">
        <v>135.6</v>
      </c>
      <c r="O238">
        <v>128.69999999999999</v>
      </c>
      <c r="P238">
        <v>146.80000000000001</v>
      </c>
      <c r="Q238">
        <v>140.6</v>
      </c>
      <c r="R238" s="12">
        <f t="shared" si="16"/>
        <v>7.1174377224195238E-4</v>
      </c>
      <c r="S238">
        <v>149.80000000000001</v>
      </c>
      <c r="T238">
        <v>140.30000000000001</v>
      </c>
      <c r="U238">
        <v>133</v>
      </c>
      <c r="V238">
        <v>139.30000000000001</v>
      </c>
      <c r="W238">
        <v>134.4</v>
      </c>
      <c r="X238">
        <v>129.80000000000001</v>
      </c>
      <c r="Y238" s="12">
        <f t="shared" si="17"/>
        <v>9.1673675357443279E-2</v>
      </c>
      <c r="Z238">
        <v>132.80000000000001</v>
      </c>
      <c r="AA238">
        <v>130.19999999999999</v>
      </c>
      <c r="AB238" s="12">
        <f t="shared" si="18"/>
        <v>3.5799522673030909E-2</v>
      </c>
      <c r="AC238">
        <v>117.3</v>
      </c>
      <c r="AD238">
        <v>127.3</v>
      </c>
      <c r="AE238">
        <v>137.6</v>
      </c>
      <c r="AF238">
        <v>124.5</v>
      </c>
      <c r="AG238">
        <v>126.8</v>
      </c>
      <c r="AH238">
        <v>135.4</v>
      </c>
      <c r="AI238" s="11">
        <f t="shared" si="19"/>
        <v>2.0346646571213392E-2</v>
      </c>
    </row>
    <row r="239" spans="1:35" x14ac:dyDescent="0.25">
      <c r="A239" t="s">
        <v>30</v>
      </c>
      <c r="B239">
        <v>2018</v>
      </c>
      <c r="C239">
        <v>8</v>
      </c>
      <c r="D239" s="13">
        <f t="shared" si="15"/>
        <v>43313</v>
      </c>
      <c r="E239">
        <v>139.19999999999999</v>
      </c>
      <c r="F239">
        <v>148.80000000000001</v>
      </c>
      <c r="G239">
        <v>139.1</v>
      </c>
      <c r="H239">
        <v>143.5</v>
      </c>
      <c r="I239">
        <v>125</v>
      </c>
      <c r="J239">
        <v>154.4</v>
      </c>
      <c r="K239">
        <v>156.30000000000001</v>
      </c>
      <c r="L239">
        <v>126.8</v>
      </c>
      <c r="M239">
        <v>115.4</v>
      </c>
      <c r="N239">
        <v>138.6</v>
      </c>
      <c r="O239">
        <v>133.80000000000001</v>
      </c>
      <c r="P239">
        <v>155.19999999999999</v>
      </c>
      <c r="Q239">
        <v>142.69999999999999</v>
      </c>
      <c r="R239" s="12">
        <f t="shared" si="16"/>
        <v>1.4935988620199106E-2</v>
      </c>
      <c r="S239">
        <v>156.4</v>
      </c>
      <c r="T239">
        <v>152.1</v>
      </c>
      <c r="U239">
        <v>145.80000000000001</v>
      </c>
      <c r="V239">
        <v>151.30000000000001</v>
      </c>
      <c r="W239" t="s">
        <v>31</v>
      </c>
      <c r="X239">
        <v>147.69999999999999</v>
      </c>
      <c r="Y239" s="12">
        <f t="shared" si="17"/>
        <v>0.13790446841294279</v>
      </c>
      <c r="Z239">
        <v>143.80000000000001</v>
      </c>
      <c r="AA239">
        <v>139.4</v>
      </c>
      <c r="AB239" s="12">
        <f t="shared" si="18"/>
        <v>7.0660522273425633E-2</v>
      </c>
      <c r="AC239">
        <v>128.30000000000001</v>
      </c>
      <c r="AD239">
        <v>138.6</v>
      </c>
      <c r="AE239">
        <v>146.9</v>
      </c>
      <c r="AF239">
        <v>131.30000000000001</v>
      </c>
      <c r="AG239">
        <v>136.6</v>
      </c>
      <c r="AH239">
        <v>142.5</v>
      </c>
      <c r="AI239" s="11">
        <f t="shared" si="19"/>
        <v>5.2437223042835997E-2</v>
      </c>
    </row>
    <row r="240" spans="1:35" x14ac:dyDescent="0.25">
      <c r="A240" t="s">
        <v>32</v>
      </c>
      <c r="B240">
        <v>2018</v>
      </c>
      <c r="C240">
        <v>8</v>
      </c>
      <c r="D240" s="13">
        <f t="shared" si="15"/>
        <v>43313</v>
      </c>
      <c r="E240">
        <v>136.5</v>
      </c>
      <c r="F240">
        <v>146.4</v>
      </c>
      <c r="G240">
        <v>136.6</v>
      </c>
      <c r="H240">
        <v>141.19999999999999</v>
      </c>
      <c r="I240">
        <v>117.4</v>
      </c>
      <c r="J240">
        <v>146.30000000000001</v>
      </c>
      <c r="K240">
        <v>157.30000000000001</v>
      </c>
      <c r="L240">
        <v>113.6</v>
      </c>
      <c r="M240">
        <v>113.3</v>
      </c>
      <c r="N240">
        <v>141.1</v>
      </c>
      <c r="O240">
        <v>127.4</v>
      </c>
      <c r="P240">
        <v>150.4</v>
      </c>
      <c r="Q240">
        <v>140.1</v>
      </c>
      <c r="R240" s="12">
        <f t="shared" si="16"/>
        <v>-1.8220042046250839E-2</v>
      </c>
      <c r="S240">
        <v>162.1</v>
      </c>
      <c r="T240">
        <v>140</v>
      </c>
      <c r="U240">
        <v>129</v>
      </c>
      <c r="V240">
        <v>138.30000000000001</v>
      </c>
      <c r="W240">
        <v>144.6</v>
      </c>
      <c r="X240">
        <v>129.80000000000001</v>
      </c>
      <c r="Y240" s="12">
        <f t="shared" si="17"/>
        <v>-0.12119160460392674</v>
      </c>
      <c r="Z240">
        <v>134.4</v>
      </c>
      <c r="AA240">
        <v>134.9</v>
      </c>
      <c r="AB240" s="12">
        <f t="shared" si="18"/>
        <v>-3.2281205164992825E-2</v>
      </c>
      <c r="AC240">
        <v>120.7</v>
      </c>
      <c r="AD240">
        <v>129.80000000000001</v>
      </c>
      <c r="AE240">
        <v>145.30000000000001</v>
      </c>
      <c r="AF240">
        <v>128.30000000000001</v>
      </c>
      <c r="AG240">
        <v>131</v>
      </c>
      <c r="AH240">
        <v>138</v>
      </c>
      <c r="AI240" s="11">
        <f t="shared" si="19"/>
        <v>-3.1578947368421054E-2</v>
      </c>
    </row>
    <row r="241" spans="1:35" x14ac:dyDescent="0.25">
      <c r="A241" t="s">
        <v>33</v>
      </c>
      <c r="B241">
        <v>2018</v>
      </c>
      <c r="C241">
        <v>8</v>
      </c>
      <c r="D241" s="13">
        <f t="shared" si="15"/>
        <v>43313</v>
      </c>
      <c r="E241">
        <v>138.30000000000001</v>
      </c>
      <c r="F241">
        <v>148</v>
      </c>
      <c r="G241">
        <v>138.1</v>
      </c>
      <c r="H241">
        <v>142.6</v>
      </c>
      <c r="I241">
        <v>122.2</v>
      </c>
      <c r="J241">
        <v>150.6</v>
      </c>
      <c r="K241">
        <v>156.6</v>
      </c>
      <c r="L241">
        <v>122.4</v>
      </c>
      <c r="M241">
        <v>114.7</v>
      </c>
      <c r="N241">
        <v>139.4</v>
      </c>
      <c r="O241">
        <v>131.1</v>
      </c>
      <c r="P241">
        <v>153</v>
      </c>
      <c r="Q241">
        <v>141.69999999999999</v>
      </c>
      <c r="R241" s="12">
        <f t="shared" si="16"/>
        <v>1.1420413990007098E-2</v>
      </c>
      <c r="S241">
        <v>157.9</v>
      </c>
      <c r="T241">
        <v>147.30000000000001</v>
      </c>
      <c r="U241">
        <v>138.80000000000001</v>
      </c>
      <c r="V241">
        <v>146.1</v>
      </c>
      <c r="W241">
        <v>144.6</v>
      </c>
      <c r="X241">
        <v>140.9</v>
      </c>
      <c r="Y241" s="12">
        <f t="shared" si="17"/>
        <v>8.5516178736517665E-2</v>
      </c>
      <c r="Z241">
        <v>139.4</v>
      </c>
      <c r="AA241">
        <v>137.69999999999999</v>
      </c>
      <c r="AB241" s="12">
        <f t="shared" si="18"/>
        <v>2.075611564121559E-2</v>
      </c>
      <c r="AC241">
        <v>124.3</v>
      </c>
      <c r="AD241">
        <v>133.6</v>
      </c>
      <c r="AE241">
        <v>146</v>
      </c>
      <c r="AF241">
        <v>130.1</v>
      </c>
      <c r="AG241">
        <v>133.9</v>
      </c>
      <c r="AH241">
        <v>140.4</v>
      </c>
      <c r="AI241" s="11">
        <f t="shared" si="19"/>
        <v>1.7391304347826129E-2</v>
      </c>
    </row>
    <row r="242" spans="1:35" x14ac:dyDescent="0.25">
      <c r="A242" t="s">
        <v>30</v>
      </c>
      <c r="B242">
        <v>2019</v>
      </c>
      <c r="C242">
        <v>8</v>
      </c>
      <c r="D242" s="13">
        <f t="shared" si="15"/>
        <v>43678</v>
      </c>
      <c r="E242">
        <v>139.19999999999999</v>
      </c>
      <c r="F242">
        <v>161.9</v>
      </c>
      <c r="G242">
        <v>137.1</v>
      </c>
      <c r="H242">
        <v>144.6</v>
      </c>
      <c r="I242">
        <v>124.7</v>
      </c>
      <c r="J242">
        <v>145.5</v>
      </c>
      <c r="K242">
        <v>156.19999999999999</v>
      </c>
      <c r="L242">
        <v>131.5</v>
      </c>
      <c r="M242">
        <v>111.7</v>
      </c>
      <c r="N242">
        <v>142.69999999999999</v>
      </c>
      <c r="O242">
        <v>138.5</v>
      </c>
      <c r="P242">
        <v>156.9</v>
      </c>
      <c r="Q242">
        <v>144</v>
      </c>
      <c r="R242" s="12">
        <f t="shared" si="16"/>
        <v>1.6231474947071358E-2</v>
      </c>
      <c r="S242">
        <v>165.1</v>
      </c>
      <c r="T242">
        <v>151.80000000000001</v>
      </c>
      <c r="U242">
        <v>146.6</v>
      </c>
      <c r="V242">
        <v>151.1</v>
      </c>
      <c r="W242" t="s">
        <v>31</v>
      </c>
      <c r="X242">
        <v>146.4</v>
      </c>
      <c r="Y242" s="12">
        <f t="shared" si="17"/>
        <v>3.9034776437189493E-2</v>
      </c>
      <c r="Z242">
        <v>150.19999999999999</v>
      </c>
      <c r="AA242">
        <v>152.69999999999999</v>
      </c>
      <c r="AB242" s="12">
        <f t="shared" si="18"/>
        <v>0.10893246187363835</v>
      </c>
      <c r="AC242">
        <v>131.4</v>
      </c>
      <c r="AD242">
        <v>148</v>
      </c>
      <c r="AE242">
        <v>159.69999999999999</v>
      </c>
      <c r="AF242">
        <v>138.80000000000001</v>
      </c>
      <c r="AG242">
        <v>144.9</v>
      </c>
      <c r="AH242">
        <v>145.69999999999999</v>
      </c>
      <c r="AI242" s="11">
        <f t="shared" si="19"/>
        <v>3.7749287749287624E-2</v>
      </c>
    </row>
    <row r="243" spans="1:35" x14ac:dyDescent="0.25">
      <c r="A243" t="s">
        <v>32</v>
      </c>
      <c r="B243">
        <v>2019</v>
      </c>
      <c r="C243">
        <v>8</v>
      </c>
      <c r="D243" s="13">
        <f t="shared" si="15"/>
        <v>43678</v>
      </c>
      <c r="E243">
        <v>142.1</v>
      </c>
      <c r="F243">
        <v>158.30000000000001</v>
      </c>
      <c r="G243">
        <v>140.80000000000001</v>
      </c>
      <c r="H243">
        <v>144.9</v>
      </c>
      <c r="I243">
        <v>119.9</v>
      </c>
      <c r="J243">
        <v>153.9</v>
      </c>
      <c r="K243">
        <v>189.1</v>
      </c>
      <c r="L243">
        <v>129.80000000000001</v>
      </c>
      <c r="M243">
        <v>112.7</v>
      </c>
      <c r="N243">
        <v>142.5</v>
      </c>
      <c r="O243">
        <v>129.80000000000001</v>
      </c>
      <c r="P243">
        <v>156.19999999999999</v>
      </c>
      <c r="Q243">
        <v>149.1</v>
      </c>
      <c r="R243" s="12">
        <f t="shared" si="16"/>
        <v>3.5416666666666624E-2</v>
      </c>
      <c r="S243">
        <v>167.9</v>
      </c>
      <c r="T243">
        <v>145</v>
      </c>
      <c r="U243">
        <v>132.19999999999999</v>
      </c>
      <c r="V243">
        <v>143</v>
      </c>
      <c r="W243">
        <v>151.6</v>
      </c>
      <c r="X243">
        <v>125.5</v>
      </c>
      <c r="Y243" s="12">
        <f t="shared" si="17"/>
        <v>-0.14275956284153007</v>
      </c>
      <c r="Z243">
        <v>138.1</v>
      </c>
      <c r="AA243">
        <v>141.5</v>
      </c>
      <c r="AB243" s="12">
        <f t="shared" si="18"/>
        <v>-7.3346430910281535E-2</v>
      </c>
      <c r="AC243">
        <v>120.8</v>
      </c>
      <c r="AD243">
        <v>135.4</v>
      </c>
      <c r="AE243">
        <v>151.5</v>
      </c>
      <c r="AF243">
        <v>137.80000000000001</v>
      </c>
      <c r="AG243">
        <v>135.30000000000001</v>
      </c>
      <c r="AH243">
        <v>144.19999999999999</v>
      </c>
      <c r="AI243" s="11">
        <f t="shared" si="19"/>
        <v>-1.0295126973232671E-2</v>
      </c>
    </row>
    <row r="244" spans="1:35" x14ac:dyDescent="0.25">
      <c r="A244" t="s">
        <v>33</v>
      </c>
      <c r="B244">
        <v>2019</v>
      </c>
      <c r="C244">
        <v>8</v>
      </c>
      <c r="D244" s="13">
        <f t="shared" si="15"/>
        <v>43678</v>
      </c>
      <c r="E244">
        <v>140.1</v>
      </c>
      <c r="F244">
        <v>160.6</v>
      </c>
      <c r="G244">
        <v>138.5</v>
      </c>
      <c r="H244">
        <v>144.69999999999999</v>
      </c>
      <c r="I244">
        <v>122.9</v>
      </c>
      <c r="J244">
        <v>149.4</v>
      </c>
      <c r="K244">
        <v>167.4</v>
      </c>
      <c r="L244">
        <v>130.9</v>
      </c>
      <c r="M244">
        <v>112</v>
      </c>
      <c r="N244">
        <v>142.6</v>
      </c>
      <c r="O244">
        <v>134.9</v>
      </c>
      <c r="P244">
        <v>156.6</v>
      </c>
      <c r="Q244">
        <v>145.9</v>
      </c>
      <c r="R244" s="12">
        <f t="shared" si="16"/>
        <v>-2.1462105969148146E-2</v>
      </c>
      <c r="S244">
        <v>165.8</v>
      </c>
      <c r="T244">
        <v>149.1</v>
      </c>
      <c r="U244">
        <v>140.6</v>
      </c>
      <c r="V244">
        <v>147.9</v>
      </c>
      <c r="W244">
        <v>151.6</v>
      </c>
      <c r="X244">
        <v>138.5</v>
      </c>
      <c r="Y244" s="12">
        <f t="shared" si="17"/>
        <v>0.10358565737051793</v>
      </c>
      <c r="Z244">
        <v>144.5</v>
      </c>
      <c r="AA244">
        <v>148.5</v>
      </c>
      <c r="AB244" s="12">
        <f t="shared" si="18"/>
        <v>4.9469964664310952E-2</v>
      </c>
      <c r="AC244">
        <v>125.8</v>
      </c>
      <c r="AD244">
        <v>140.9</v>
      </c>
      <c r="AE244">
        <v>154.9</v>
      </c>
      <c r="AF244">
        <v>138.4</v>
      </c>
      <c r="AG244">
        <v>140.19999999999999</v>
      </c>
      <c r="AH244">
        <v>145</v>
      </c>
      <c r="AI244" s="11">
        <f t="shared" si="19"/>
        <v>5.5478502080444619E-3</v>
      </c>
    </row>
    <row r="245" spans="1:35" x14ac:dyDescent="0.25">
      <c r="A245" t="s">
        <v>30</v>
      </c>
      <c r="B245">
        <v>2020</v>
      </c>
      <c r="C245">
        <v>8</v>
      </c>
      <c r="D245" s="13">
        <f t="shared" si="15"/>
        <v>44044</v>
      </c>
      <c r="E245">
        <v>147.6</v>
      </c>
      <c r="F245">
        <v>187.2</v>
      </c>
      <c r="G245">
        <v>148.4</v>
      </c>
      <c r="H245">
        <v>153.30000000000001</v>
      </c>
      <c r="I245">
        <v>139.80000000000001</v>
      </c>
      <c r="J245">
        <v>146.9</v>
      </c>
      <c r="K245">
        <v>171</v>
      </c>
      <c r="L245">
        <v>149.9</v>
      </c>
      <c r="M245">
        <v>114.2</v>
      </c>
      <c r="N245">
        <v>160</v>
      </c>
      <c r="O245">
        <v>143.5</v>
      </c>
      <c r="P245">
        <v>161.5</v>
      </c>
      <c r="Q245">
        <v>155.30000000000001</v>
      </c>
      <c r="R245" s="12">
        <f t="shared" si="16"/>
        <v>6.4427690198766319E-2</v>
      </c>
      <c r="S245">
        <v>180.9</v>
      </c>
      <c r="T245">
        <v>155.1</v>
      </c>
      <c r="U245">
        <v>149.30000000000001</v>
      </c>
      <c r="V245">
        <v>154.30000000000001</v>
      </c>
      <c r="W245" t="s">
        <v>31</v>
      </c>
      <c r="X245">
        <v>145.80000000000001</v>
      </c>
      <c r="Y245" s="12">
        <f t="shared" si="17"/>
        <v>5.2707581227436906E-2</v>
      </c>
      <c r="Z245">
        <v>151.9</v>
      </c>
      <c r="AA245">
        <v>158.80000000000001</v>
      </c>
      <c r="AB245" s="12">
        <f t="shared" si="18"/>
        <v>6.9360269360269441E-2</v>
      </c>
      <c r="AC245">
        <v>143.6</v>
      </c>
      <c r="AD245">
        <v>152.19999999999999</v>
      </c>
      <c r="AE245">
        <v>162.69999999999999</v>
      </c>
      <c r="AF245">
        <v>153.6</v>
      </c>
      <c r="AG245">
        <v>153</v>
      </c>
      <c r="AH245">
        <v>154.69999999999999</v>
      </c>
      <c r="AI245" s="11">
        <f t="shared" si="19"/>
        <v>6.6896551724137859E-2</v>
      </c>
    </row>
    <row r="246" spans="1:35" x14ac:dyDescent="0.25">
      <c r="A246" t="s">
        <v>32</v>
      </c>
      <c r="B246">
        <v>2020</v>
      </c>
      <c r="C246">
        <v>8</v>
      </c>
      <c r="D246" s="13">
        <f t="shared" si="15"/>
        <v>44044</v>
      </c>
      <c r="E246">
        <v>151.6</v>
      </c>
      <c r="F246">
        <v>197.8</v>
      </c>
      <c r="G246">
        <v>154.5</v>
      </c>
      <c r="H246">
        <v>153.4</v>
      </c>
      <c r="I246">
        <v>133.4</v>
      </c>
      <c r="J246">
        <v>154.5</v>
      </c>
      <c r="K246">
        <v>191.9</v>
      </c>
      <c r="L246">
        <v>151.30000000000001</v>
      </c>
      <c r="M246">
        <v>116.8</v>
      </c>
      <c r="N246">
        <v>160</v>
      </c>
      <c r="O246">
        <v>136.5</v>
      </c>
      <c r="P246">
        <v>163.30000000000001</v>
      </c>
      <c r="Q246">
        <v>159.9</v>
      </c>
      <c r="R246" s="12">
        <f t="shared" si="16"/>
        <v>2.9620090148100412E-2</v>
      </c>
      <c r="S246">
        <v>187.2</v>
      </c>
      <c r="T246">
        <v>150</v>
      </c>
      <c r="U246">
        <v>135.19999999999999</v>
      </c>
      <c r="V246">
        <v>147.80000000000001</v>
      </c>
      <c r="W246">
        <v>155.5</v>
      </c>
      <c r="X246">
        <v>138.30000000000001</v>
      </c>
      <c r="Y246" s="12">
        <f t="shared" si="17"/>
        <v>-5.1440329218106991E-2</v>
      </c>
      <c r="Z246">
        <v>144.5</v>
      </c>
      <c r="AA246">
        <v>148.69999999999999</v>
      </c>
      <c r="AB246" s="12">
        <f t="shared" si="18"/>
        <v>-6.3602015113350271E-2</v>
      </c>
      <c r="AC246">
        <v>133.9</v>
      </c>
      <c r="AD246">
        <v>141.19999999999999</v>
      </c>
      <c r="AE246">
        <v>155.5</v>
      </c>
      <c r="AF246">
        <v>155.19999999999999</v>
      </c>
      <c r="AG246">
        <v>144.80000000000001</v>
      </c>
      <c r="AH246">
        <v>152.9</v>
      </c>
      <c r="AI246" s="11">
        <f t="shared" si="19"/>
        <v>-1.1635423400129173E-2</v>
      </c>
    </row>
    <row r="247" spans="1:35" x14ac:dyDescent="0.25">
      <c r="A247" t="s">
        <v>33</v>
      </c>
      <c r="B247">
        <v>2020</v>
      </c>
      <c r="C247">
        <v>8</v>
      </c>
      <c r="D247" s="13">
        <f t="shared" si="15"/>
        <v>44044</v>
      </c>
      <c r="E247">
        <v>148.9</v>
      </c>
      <c r="F247">
        <v>190.9</v>
      </c>
      <c r="G247">
        <v>150.80000000000001</v>
      </c>
      <c r="H247">
        <v>153.30000000000001</v>
      </c>
      <c r="I247">
        <v>137.4</v>
      </c>
      <c r="J247">
        <v>150.4</v>
      </c>
      <c r="K247">
        <v>178.1</v>
      </c>
      <c r="L247">
        <v>150.4</v>
      </c>
      <c r="M247">
        <v>115.1</v>
      </c>
      <c r="N247">
        <v>160</v>
      </c>
      <c r="O247">
        <v>140.6</v>
      </c>
      <c r="P247">
        <v>162.30000000000001</v>
      </c>
      <c r="Q247">
        <v>157</v>
      </c>
      <c r="R247" s="12">
        <f t="shared" si="16"/>
        <v>-1.8136335209505975E-2</v>
      </c>
      <c r="S247">
        <v>182.6</v>
      </c>
      <c r="T247">
        <v>153.1</v>
      </c>
      <c r="U247">
        <v>143.4</v>
      </c>
      <c r="V247">
        <v>151.69999999999999</v>
      </c>
      <c r="W247">
        <v>155.5</v>
      </c>
      <c r="X247">
        <v>143</v>
      </c>
      <c r="Y247" s="12">
        <f t="shared" si="17"/>
        <v>3.3984092552422185E-2</v>
      </c>
      <c r="Z247">
        <v>148.4</v>
      </c>
      <c r="AA247">
        <v>155</v>
      </c>
      <c r="AB247" s="12">
        <f t="shared" si="18"/>
        <v>4.2367182246133235E-2</v>
      </c>
      <c r="AC247">
        <v>138.5</v>
      </c>
      <c r="AD247">
        <v>146</v>
      </c>
      <c r="AE247">
        <v>158.5</v>
      </c>
      <c r="AF247">
        <v>154.30000000000001</v>
      </c>
      <c r="AG247">
        <v>149</v>
      </c>
      <c r="AH247">
        <v>153.9</v>
      </c>
      <c r="AI247" s="11">
        <f t="shared" si="19"/>
        <v>6.5402223675604968E-3</v>
      </c>
    </row>
    <row r="248" spans="1:35" x14ac:dyDescent="0.25">
      <c r="A248" t="s">
        <v>30</v>
      </c>
      <c r="B248">
        <v>2021</v>
      </c>
      <c r="C248">
        <v>8</v>
      </c>
      <c r="D248" s="13">
        <f t="shared" si="15"/>
        <v>44409</v>
      </c>
      <c r="E248">
        <v>144.9</v>
      </c>
      <c r="F248">
        <v>202.3</v>
      </c>
      <c r="G248">
        <v>176.5</v>
      </c>
      <c r="H248">
        <v>157.5</v>
      </c>
      <c r="I248">
        <v>190.9</v>
      </c>
      <c r="J248">
        <v>155.69999999999999</v>
      </c>
      <c r="K248">
        <v>153.9</v>
      </c>
      <c r="L248">
        <v>162.80000000000001</v>
      </c>
      <c r="M248">
        <v>115.2</v>
      </c>
      <c r="N248">
        <v>169.8</v>
      </c>
      <c r="O248">
        <v>167.6</v>
      </c>
      <c r="P248">
        <v>171.9</v>
      </c>
      <c r="Q248">
        <v>161.80000000000001</v>
      </c>
      <c r="R248" s="12">
        <f t="shared" si="16"/>
        <v>3.0573248407643385E-2</v>
      </c>
      <c r="S248">
        <v>190.2</v>
      </c>
      <c r="T248">
        <v>167</v>
      </c>
      <c r="U248">
        <v>162.6</v>
      </c>
      <c r="V248">
        <v>166.3</v>
      </c>
      <c r="W248" t="s">
        <v>31</v>
      </c>
      <c r="X248">
        <v>163.1</v>
      </c>
      <c r="Y248" s="12">
        <f t="shared" si="17"/>
        <v>0.14055944055944053</v>
      </c>
      <c r="Z248">
        <v>160.9</v>
      </c>
      <c r="AA248">
        <v>171.1</v>
      </c>
      <c r="AB248" s="12">
        <f t="shared" si="18"/>
        <v>0.10387096774193545</v>
      </c>
      <c r="AC248">
        <v>157.69999999999999</v>
      </c>
      <c r="AD248">
        <v>161.1</v>
      </c>
      <c r="AE248">
        <v>167.5</v>
      </c>
      <c r="AF248">
        <v>160.30000000000001</v>
      </c>
      <c r="AG248">
        <v>163.30000000000001</v>
      </c>
      <c r="AH248">
        <v>163.6</v>
      </c>
      <c r="AI248" s="11">
        <f t="shared" si="19"/>
        <v>6.3027940220922604E-2</v>
      </c>
    </row>
    <row r="249" spans="1:35" x14ac:dyDescent="0.25">
      <c r="A249" t="s">
        <v>32</v>
      </c>
      <c r="B249">
        <v>2021</v>
      </c>
      <c r="C249">
        <v>8</v>
      </c>
      <c r="D249" s="13">
        <f t="shared" si="15"/>
        <v>44409</v>
      </c>
      <c r="E249">
        <v>149.30000000000001</v>
      </c>
      <c r="F249">
        <v>207.4</v>
      </c>
      <c r="G249">
        <v>174.1</v>
      </c>
      <c r="H249">
        <v>159.19999999999999</v>
      </c>
      <c r="I249">
        <v>175</v>
      </c>
      <c r="J249">
        <v>161.30000000000001</v>
      </c>
      <c r="K249">
        <v>183.3</v>
      </c>
      <c r="L249">
        <v>164.5</v>
      </c>
      <c r="M249">
        <v>120.4</v>
      </c>
      <c r="N249">
        <v>166.2</v>
      </c>
      <c r="O249">
        <v>154.80000000000001</v>
      </c>
      <c r="P249">
        <v>175.1</v>
      </c>
      <c r="Q249">
        <v>167.3</v>
      </c>
      <c r="R249" s="12">
        <f t="shared" si="16"/>
        <v>3.3992583436341157E-2</v>
      </c>
      <c r="S249">
        <v>196.5</v>
      </c>
      <c r="T249">
        <v>159.80000000000001</v>
      </c>
      <c r="U249">
        <v>143.6</v>
      </c>
      <c r="V249">
        <v>157.30000000000001</v>
      </c>
      <c r="W249">
        <v>162.1</v>
      </c>
      <c r="X249">
        <v>160.69999999999999</v>
      </c>
      <c r="Y249" s="12">
        <f t="shared" si="17"/>
        <v>-1.4714898835070545E-2</v>
      </c>
      <c r="Z249">
        <v>153.19999999999999</v>
      </c>
      <c r="AA249">
        <v>162.80000000000001</v>
      </c>
      <c r="AB249" s="12">
        <f t="shared" si="18"/>
        <v>-4.8509643483342975E-2</v>
      </c>
      <c r="AC249">
        <v>150.4</v>
      </c>
      <c r="AD249">
        <v>153.69999999999999</v>
      </c>
      <c r="AE249">
        <v>160.4</v>
      </c>
      <c r="AF249">
        <v>159.6</v>
      </c>
      <c r="AG249">
        <v>156</v>
      </c>
      <c r="AH249">
        <v>162.30000000000001</v>
      </c>
      <c r="AI249" s="11">
        <f t="shared" si="19"/>
        <v>-7.9462102689485514E-3</v>
      </c>
    </row>
    <row r="250" spans="1:35" x14ac:dyDescent="0.25">
      <c r="A250" t="s">
        <v>33</v>
      </c>
      <c r="B250">
        <v>2021</v>
      </c>
      <c r="C250">
        <v>8</v>
      </c>
      <c r="D250" s="13">
        <f t="shared" si="15"/>
        <v>44409</v>
      </c>
      <c r="E250">
        <v>146.6</v>
      </c>
      <c r="F250">
        <v>204</v>
      </c>
      <c r="G250">
        <v>172.8</v>
      </c>
      <c r="H250">
        <v>158.4</v>
      </c>
      <c r="I250">
        <v>188</v>
      </c>
      <c r="J250">
        <v>156.80000000000001</v>
      </c>
      <c r="K250">
        <v>162.19999999999999</v>
      </c>
      <c r="L250">
        <v>164.1</v>
      </c>
      <c r="M250">
        <v>119.7</v>
      </c>
      <c r="N250">
        <v>168.8</v>
      </c>
      <c r="O250">
        <v>162.69999999999999</v>
      </c>
      <c r="P250">
        <v>173.9</v>
      </c>
      <c r="Q250">
        <v>164</v>
      </c>
      <c r="R250" s="12">
        <f t="shared" si="16"/>
        <v>-1.9725044829647407E-2</v>
      </c>
      <c r="S250">
        <v>192.1</v>
      </c>
      <c r="T250">
        <v>164.5</v>
      </c>
      <c r="U250">
        <v>155.30000000000001</v>
      </c>
      <c r="V250">
        <v>163.19999999999999</v>
      </c>
      <c r="W250">
        <v>162.1</v>
      </c>
      <c r="X250">
        <v>162.6</v>
      </c>
      <c r="Y250" s="12">
        <f t="shared" si="17"/>
        <v>1.1823273179838244E-2</v>
      </c>
      <c r="Z250">
        <v>157.5</v>
      </c>
      <c r="AA250">
        <v>168.4</v>
      </c>
      <c r="AB250" s="12">
        <f t="shared" si="18"/>
        <v>3.4398034398034363E-2</v>
      </c>
      <c r="AC250">
        <v>154</v>
      </c>
      <c r="AD250">
        <v>157.6</v>
      </c>
      <c r="AE250">
        <v>163.80000000000001</v>
      </c>
      <c r="AF250">
        <v>160</v>
      </c>
      <c r="AG250">
        <v>160</v>
      </c>
      <c r="AH250">
        <v>163.19999999999999</v>
      </c>
      <c r="AI250" s="11">
        <f t="shared" si="19"/>
        <v>5.5452865064693603E-3</v>
      </c>
    </row>
    <row r="251" spans="1:35" x14ac:dyDescent="0.25">
      <c r="A251" t="s">
        <v>30</v>
      </c>
      <c r="B251">
        <v>2022</v>
      </c>
      <c r="C251">
        <v>8</v>
      </c>
      <c r="D251" s="13">
        <f t="shared" si="15"/>
        <v>44774</v>
      </c>
      <c r="E251">
        <v>159.5</v>
      </c>
      <c r="F251">
        <v>204.1</v>
      </c>
      <c r="G251">
        <v>168.3</v>
      </c>
      <c r="H251">
        <v>167.9</v>
      </c>
      <c r="I251">
        <v>198.1</v>
      </c>
      <c r="J251">
        <v>169.2</v>
      </c>
      <c r="K251">
        <v>173.1</v>
      </c>
      <c r="L251">
        <v>167.1</v>
      </c>
      <c r="M251">
        <v>120.2</v>
      </c>
      <c r="N251">
        <v>195.6</v>
      </c>
      <c r="O251">
        <v>174.8</v>
      </c>
      <c r="P251">
        <v>184</v>
      </c>
      <c r="Q251">
        <v>173.9</v>
      </c>
      <c r="R251" s="12">
        <f t="shared" si="16"/>
        <v>6.0365853658536618E-2</v>
      </c>
      <c r="S251">
        <v>193.7</v>
      </c>
      <c r="T251">
        <v>183.2</v>
      </c>
      <c r="U251">
        <v>181.7</v>
      </c>
      <c r="V251">
        <v>183</v>
      </c>
      <c r="W251" t="s">
        <v>31</v>
      </c>
      <c r="X251">
        <v>179.1</v>
      </c>
      <c r="Y251" s="12">
        <f t="shared" si="17"/>
        <v>0.1014760147601476</v>
      </c>
      <c r="Z251">
        <v>172.3</v>
      </c>
      <c r="AA251">
        <v>179.4</v>
      </c>
      <c r="AB251" s="12">
        <f t="shared" si="18"/>
        <v>6.5320665083135387E-2</v>
      </c>
      <c r="AC251">
        <v>166.6</v>
      </c>
      <c r="AD251">
        <v>169.3</v>
      </c>
      <c r="AE251">
        <v>175.7</v>
      </c>
      <c r="AF251">
        <v>171.1</v>
      </c>
      <c r="AG251">
        <v>172.6</v>
      </c>
      <c r="AH251">
        <v>175.3</v>
      </c>
      <c r="AI251" s="11">
        <f t="shared" si="19"/>
        <v>7.4142156862745237E-2</v>
      </c>
    </row>
    <row r="252" spans="1:35" x14ac:dyDescent="0.25">
      <c r="A252" t="s">
        <v>32</v>
      </c>
      <c r="B252">
        <v>2022</v>
      </c>
      <c r="C252">
        <v>8</v>
      </c>
      <c r="D252" s="13">
        <f t="shared" si="15"/>
        <v>44774</v>
      </c>
      <c r="E252">
        <v>162.1</v>
      </c>
      <c r="F252">
        <v>210.9</v>
      </c>
      <c r="G252">
        <v>170.6</v>
      </c>
      <c r="H252">
        <v>168.4</v>
      </c>
      <c r="I252">
        <v>182.5</v>
      </c>
      <c r="J252">
        <v>177.1</v>
      </c>
      <c r="K252">
        <v>213.1</v>
      </c>
      <c r="L252">
        <v>167.3</v>
      </c>
      <c r="M252">
        <v>122.2</v>
      </c>
      <c r="N252">
        <v>189.7</v>
      </c>
      <c r="O252">
        <v>160.5</v>
      </c>
      <c r="P252">
        <v>188.9</v>
      </c>
      <c r="Q252">
        <v>180.4</v>
      </c>
      <c r="R252" s="12">
        <f t="shared" si="16"/>
        <v>3.7377803335250141E-2</v>
      </c>
      <c r="S252">
        <v>198.7</v>
      </c>
      <c r="T252">
        <v>173.7</v>
      </c>
      <c r="U252">
        <v>160</v>
      </c>
      <c r="V252">
        <v>171.6</v>
      </c>
      <c r="W252">
        <v>169</v>
      </c>
      <c r="X252">
        <v>178.4</v>
      </c>
      <c r="Y252" s="12">
        <f t="shared" si="17"/>
        <v>-3.9084310441093728E-3</v>
      </c>
      <c r="Z252">
        <v>164.2</v>
      </c>
      <c r="AA252">
        <v>172.6</v>
      </c>
      <c r="AB252" s="12">
        <f t="shared" si="18"/>
        <v>-3.7904124860646662E-2</v>
      </c>
      <c r="AC252">
        <v>157.69999999999999</v>
      </c>
      <c r="AD252">
        <v>165.1</v>
      </c>
      <c r="AE252">
        <v>169.9</v>
      </c>
      <c r="AF252">
        <v>171.4</v>
      </c>
      <c r="AG252">
        <v>165.4</v>
      </c>
      <c r="AH252">
        <v>173.1</v>
      </c>
      <c r="AI252" s="11">
        <f t="shared" si="19"/>
        <v>-1.2549914432401693E-2</v>
      </c>
    </row>
    <row r="253" spans="1:35" x14ac:dyDescent="0.25">
      <c r="A253" t="s">
        <v>33</v>
      </c>
      <c r="B253">
        <v>2022</v>
      </c>
      <c r="C253">
        <v>8</v>
      </c>
      <c r="D253" s="13">
        <f t="shared" si="15"/>
        <v>44774</v>
      </c>
      <c r="E253">
        <v>160.30000000000001</v>
      </c>
      <c r="F253">
        <v>206.5</v>
      </c>
      <c r="G253">
        <v>169.2</v>
      </c>
      <c r="H253">
        <v>168.1</v>
      </c>
      <c r="I253">
        <v>192.4</v>
      </c>
      <c r="J253">
        <v>172.9</v>
      </c>
      <c r="K253">
        <v>186.7</v>
      </c>
      <c r="L253">
        <v>167.2</v>
      </c>
      <c r="M253">
        <v>120.9</v>
      </c>
      <c r="N253">
        <v>193.6</v>
      </c>
      <c r="O253">
        <v>168.8</v>
      </c>
      <c r="P253">
        <v>186.3</v>
      </c>
      <c r="Q253">
        <v>176.3</v>
      </c>
      <c r="R253" s="12">
        <f t="shared" si="16"/>
        <v>-2.2727272727272697E-2</v>
      </c>
      <c r="S253">
        <v>195</v>
      </c>
      <c r="T253">
        <v>179.5</v>
      </c>
      <c r="U253">
        <v>172.7</v>
      </c>
      <c r="V253">
        <v>178.5</v>
      </c>
      <c r="W253">
        <v>169</v>
      </c>
      <c r="X253">
        <v>178.8</v>
      </c>
      <c r="Y253" s="12">
        <f t="shared" si="17"/>
        <v>2.2421524663677446E-3</v>
      </c>
      <c r="Z253">
        <v>168.5</v>
      </c>
      <c r="AA253">
        <v>176.8</v>
      </c>
      <c r="AB253" s="12">
        <f t="shared" si="18"/>
        <v>2.4333719582850622E-2</v>
      </c>
      <c r="AC253">
        <v>161.9</v>
      </c>
      <c r="AD253">
        <v>166.9</v>
      </c>
      <c r="AE253">
        <v>172.3</v>
      </c>
      <c r="AF253">
        <v>171.2</v>
      </c>
      <c r="AG253">
        <v>169.1</v>
      </c>
      <c r="AH253">
        <v>174.3</v>
      </c>
      <c r="AI253" s="11">
        <f t="shared" si="19"/>
        <v>6.9324090121318143E-3</v>
      </c>
    </row>
    <row r="254" spans="1:35" x14ac:dyDescent="0.25">
      <c r="A254" t="s">
        <v>30</v>
      </c>
      <c r="B254">
        <v>2013</v>
      </c>
      <c r="C254">
        <v>9</v>
      </c>
      <c r="D254" s="13">
        <f t="shared" si="15"/>
        <v>41518</v>
      </c>
      <c r="E254">
        <v>115.4</v>
      </c>
      <c r="F254">
        <v>115.7</v>
      </c>
      <c r="G254">
        <v>111.7</v>
      </c>
      <c r="H254">
        <v>111</v>
      </c>
      <c r="I254">
        <v>107.4</v>
      </c>
      <c r="J254">
        <v>110.9</v>
      </c>
      <c r="K254">
        <v>154</v>
      </c>
      <c r="L254">
        <v>108.1</v>
      </c>
      <c r="M254">
        <v>104.2</v>
      </c>
      <c r="N254">
        <v>107.9</v>
      </c>
      <c r="O254">
        <v>110.4</v>
      </c>
      <c r="P254">
        <v>114</v>
      </c>
      <c r="Q254">
        <v>117.8</v>
      </c>
      <c r="R254" s="12">
        <f t="shared" si="16"/>
        <v>-0.33182076006806588</v>
      </c>
      <c r="S254">
        <v>111.7</v>
      </c>
      <c r="T254">
        <v>112.7</v>
      </c>
      <c r="U254">
        <v>111.4</v>
      </c>
      <c r="V254">
        <v>112.5</v>
      </c>
      <c r="W254" t="s">
        <v>31</v>
      </c>
      <c r="X254">
        <v>111.1</v>
      </c>
      <c r="Y254" s="12">
        <f t="shared" si="17"/>
        <v>-0.37863534675615218</v>
      </c>
      <c r="Z254">
        <v>109.6</v>
      </c>
      <c r="AA254">
        <v>108.3</v>
      </c>
      <c r="AB254" s="12">
        <f t="shared" si="18"/>
        <v>-0.38744343891402722</v>
      </c>
      <c r="AC254">
        <v>109.3</v>
      </c>
      <c r="AD254">
        <v>107.7</v>
      </c>
      <c r="AE254">
        <v>109.8</v>
      </c>
      <c r="AF254">
        <v>106.7</v>
      </c>
      <c r="AG254">
        <v>108.7</v>
      </c>
      <c r="AH254">
        <v>114.2</v>
      </c>
      <c r="AI254" s="11">
        <f t="shared" si="19"/>
        <v>-0.34480780263912797</v>
      </c>
    </row>
    <row r="255" spans="1:35" x14ac:dyDescent="0.25">
      <c r="A255" t="s">
        <v>32</v>
      </c>
      <c r="B255">
        <v>2013</v>
      </c>
      <c r="C255">
        <v>9</v>
      </c>
      <c r="D255" s="13">
        <f t="shared" si="15"/>
        <v>41518</v>
      </c>
      <c r="E255">
        <v>118.6</v>
      </c>
      <c r="F255">
        <v>119.1</v>
      </c>
      <c r="G255">
        <v>113.2</v>
      </c>
      <c r="H255">
        <v>109.6</v>
      </c>
      <c r="I255">
        <v>101.7</v>
      </c>
      <c r="J255">
        <v>103.2</v>
      </c>
      <c r="K255">
        <v>174.3</v>
      </c>
      <c r="L255">
        <v>105.1</v>
      </c>
      <c r="M255">
        <v>100.8</v>
      </c>
      <c r="N255">
        <v>109.1</v>
      </c>
      <c r="O255">
        <v>111.1</v>
      </c>
      <c r="P255">
        <v>115.4</v>
      </c>
      <c r="Q255">
        <v>119.2</v>
      </c>
      <c r="R255" s="12">
        <f t="shared" si="16"/>
        <v>1.1884550084889691E-2</v>
      </c>
      <c r="S255">
        <v>112.9</v>
      </c>
      <c r="T255">
        <v>111.4</v>
      </c>
      <c r="U255">
        <v>109</v>
      </c>
      <c r="V255">
        <v>111.1</v>
      </c>
      <c r="W255">
        <v>109.7</v>
      </c>
      <c r="X255">
        <v>109.5</v>
      </c>
      <c r="Y255" s="12">
        <f t="shared" si="17"/>
        <v>-1.4401440144014351E-2</v>
      </c>
      <c r="Z255">
        <v>109.6</v>
      </c>
      <c r="AA255">
        <v>107.9</v>
      </c>
      <c r="AB255" s="12">
        <f t="shared" si="18"/>
        <v>-3.6934441366573544E-3</v>
      </c>
      <c r="AC255">
        <v>110.4</v>
      </c>
      <c r="AD255">
        <v>107.4</v>
      </c>
      <c r="AE255">
        <v>111.2</v>
      </c>
      <c r="AF255">
        <v>106.9</v>
      </c>
      <c r="AG255">
        <v>109.4</v>
      </c>
      <c r="AH255">
        <v>113.2</v>
      </c>
      <c r="AI255" s="11">
        <f t="shared" si="19"/>
        <v>-8.7565674255691769E-3</v>
      </c>
    </row>
    <row r="256" spans="1:35" x14ac:dyDescent="0.25">
      <c r="A256" t="s">
        <v>33</v>
      </c>
      <c r="B256">
        <v>2013</v>
      </c>
      <c r="C256">
        <v>9</v>
      </c>
      <c r="D256" s="13">
        <f t="shared" si="15"/>
        <v>41518</v>
      </c>
      <c r="E256">
        <v>116.4</v>
      </c>
      <c r="F256">
        <v>116.9</v>
      </c>
      <c r="G256">
        <v>112.3</v>
      </c>
      <c r="H256">
        <v>110.5</v>
      </c>
      <c r="I256">
        <v>105.3</v>
      </c>
      <c r="J256">
        <v>107.3</v>
      </c>
      <c r="K256">
        <v>160.9</v>
      </c>
      <c r="L256">
        <v>107.1</v>
      </c>
      <c r="M256">
        <v>103.1</v>
      </c>
      <c r="N256">
        <v>108.3</v>
      </c>
      <c r="O256">
        <v>110.7</v>
      </c>
      <c r="P256">
        <v>114.6</v>
      </c>
      <c r="Q256">
        <v>118.3</v>
      </c>
      <c r="R256" s="12">
        <f t="shared" si="16"/>
        <v>-7.5503355704698459E-3</v>
      </c>
      <c r="S256">
        <v>112</v>
      </c>
      <c r="T256">
        <v>112.2</v>
      </c>
      <c r="U256">
        <v>110.4</v>
      </c>
      <c r="V256">
        <v>111.9</v>
      </c>
      <c r="W256">
        <v>109.7</v>
      </c>
      <c r="X256">
        <v>110.5</v>
      </c>
      <c r="Y256" s="12">
        <f t="shared" si="17"/>
        <v>9.1324200913242004E-3</v>
      </c>
      <c r="Z256">
        <v>109.6</v>
      </c>
      <c r="AA256">
        <v>108.1</v>
      </c>
      <c r="AB256" s="12">
        <f t="shared" si="18"/>
        <v>1.8535681186282542E-3</v>
      </c>
      <c r="AC256">
        <v>109.9</v>
      </c>
      <c r="AD256">
        <v>107.5</v>
      </c>
      <c r="AE256">
        <v>110.6</v>
      </c>
      <c r="AF256">
        <v>106.8</v>
      </c>
      <c r="AG256">
        <v>109</v>
      </c>
      <c r="AH256">
        <v>113.7</v>
      </c>
      <c r="AI256" s="11">
        <f t="shared" si="19"/>
        <v>4.4169611307420496E-3</v>
      </c>
    </row>
    <row r="257" spans="1:35" x14ac:dyDescent="0.25">
      <c r="A257" t="s">
        <v>30</v>
      </c>
      <c r="B257">
        <v>2014</v>
      </c>
      <c r="C257">
        <v>9</v>
      </c>
      <c r="D257" s="13">
        <f t="shared" si="15"/>
        <v>41883</v>
      </c>
      <c r="E257">
        <v>122.3</v>
      </c>
      <c r="F257">
        <v>122.4</v>
      </c>
      <c r="G257">
        <v>117.8</v>
      </c>
      <c r="H257">
        <v>122.7</v>
      </c>
      <c r="I257">
        <v>110.4</v>
      </c>
      <c r="J257">
        <v>129.80000000000001</v>
      </c>
      <c r="K257">
        <v>158.80000000000001</v>
      </c>
      <c r="L257">
        <v>115</v>
      </c>
      <c r="M257">
        <v>104.7</v>
      </c>
      <c r="N257">
        <v>114.9</v>
      </c>
      <c r="O257">
        <v>116.5</v>
      </c>
      <c r="P257">
        <v>122.6</v>
      </c>
      <c r="Q257">
        <v>125.3</v>
      </c>
      <c r="R257" s="12">
        <f t="shared" si="16"/>
        <v>5.9171597633136098E-2</v>
      </c>
      <c r="S257">
        <v>119.5</v>
      </c>
      <c r="T257">
        <v>121.7</v>
      </c>
      <c r="U257">
        <v>119.2</v>
      </c>
      <c r="V257">
        <v>121.3</v>
      </c>
      <c r="W257" t="s">
        <v>31</v>
      </c>
      <c r="X257">
        <v>115.8</v>
      </c>
      <c r="Y257" s="12">
        <f t="shared" si="17"/>
        <v>4.7963800904977351E-2</v>
      </c>
      <c r="Z257">
        <v>116.7</v>
      </c>
      <c r="AA257">
        <v>114.5</v>
      </c>
      <c r="AB257" s="12">
        <f t="shared" si="18"/>
        <v>5.9204440333025035E-2</v>
      </c>
      <c r="AC257">
        <v>112.8</v>
      </c>
      <c r="AD257">
        <v>112.6</v>
      </c>
      <c r="AE257">
        <v>116.6</v>
      </c>
      <c r="AF257">
        <v>109.1</v>
      </c>
      <c r="AG257">
        <v>113.7</v>
      </c>
      <c r="AH257">
        <v>120.9</v>
      </c>
      <c r="AI257" s="11">
        <f t="shared" si="19"/>
        <v>6.3324538258575216E-2</v>
      </c>
    </row>
    <row r="258" spans="1:35" x14ac:dyDescent="0.25">
      <c r="A258" t="s">
        <v>32</v>
      </c>
      <c r="B258">
        <v>2014</v>
      </c>
      <c r="C258">
        <v>9</v>
      </c>
      <c r="D258" s="13">
        <f t="shared" si="15"/>
        <v>41883</v>
      </c>
      <c r="E258">
        <v>124.2</v>
      </c>
      <c r="F258">
        <v>125.4</v>
      </c>
      <c r="G258">
        <v>116.4</v>
      </c>
      <c r="H258">
        <v>122.7</v>
      </c>
      <c r="I258">
        <v>103.5</v>
      </c>
      <c r="J258">
        <v>124.5</v>
      </c>
      <c r="K258">
        <v>168.6</v>
      </c>
      <c r="L258">
        <v>116.9</v>
      </c>
      <c r="M258">
        <v>101.9</v>
      </c>
      <c r="N258">
        <v>122.9</v>
      </c>
      <c r="O258">
        <v>114.8</v>
      </c>
      <c r="P258">
        <v>125.2</v>
      </c>
      <c r="Q258">
        <v>126.7</v>
      </c>
      <c r="R258" s="12">
        <f t="shared" si="16"/>
        <v>1.1173184357541945E-2</v>
      </c>
      <c r="S258">
        <v>124.3</v>
      </c>
      <c r="T258">
        <v>119.2</v>
      </c>
      <c r="U258">
        <v>114.5</v>
      </c>
      <c r="V258">
        <v>118.4</v>
      </c>
      <c r="W258">
        <v>116.1</v>
      </c>
      <c r="X258">
        <v>111.8</v>
      </c>
      <c r="Y258" s="12">
        <f t="shared" si="17"/>
        <v>-3.4542314335060449E-2</v>
      </c>
      <c r="Z258">
        <v>115.5</v>
      </c>
      <c r="AA258">
        <v>112.3</v>
      </c>
      <c r="AB258" s="12">
        <f t="shared" si="18"/>
        <v>-1.9213973799126663E-2</v>
      </c>
      <c r="AC258">
        <v>111.2</v>
      </c>
      <c r="AD258">
        <v>113.4</v>
      </c>
      <c r="AE258">
        <v>120</v>
      </c>
      <c r="AF258">
        <v>110</v>
      </c>
      <c r="AG258">
        <v>113.6</v>
      </c>
      <c r="AH258">
        <v>119.2</v>
      </c>
      <c r="AI258" s="11">
        <f t="shared" si="19"/>
        <v>-1.406120760959473E-2</v>
      </c>
    </row>
    <row r="259" spans="1:35" x14ac:dyDescent="0.25">
      <c r="A259" t="s">
        <v>33</v>
      </c>
      <c r="B259">
        <v>2014</v>
      </c>
      <c r="C259">
        <v>9</v>
      </c>
      <c r="D259" s="13">
        <f t="shared" ref="D259:D322" si="20">DATE(B259,C259,1)</f>
        <v>41883</v>
      </c>
      <c r="E259">
        <v>122.9</v>
      </c>
      <c r="F259">
        <v>123.5</v>
      </c>
      <c r="G259">
        <v>117.3</v>
      </c>
      <c r="H259">
        <v>122.7</v>
      </c>
      <c r="I259">
        <v>107.9</v>
      </c>
      <c r="J259">
        <v>127.3</v>
      </c>
      <c r="K259">
        <v>162.1</v>
      </c>
      <c r="L259">
        <v>115.6</v>
      </c>
      <c r="M259">
        <v>103.8</v>
      </c>
      <c r="N259">
        <v>117.6</v>
      </c>
      <c r="O259">
        <v>115.8</v>
      </c>
      <c r="P259">
        <v>123.8</v>
      </c>
      <c r="Q259">
        <v>125.8</v>
      </c>
      <c r="R259" s="12">
        <f t="shared" ref="R259:R322" si="21">(Q259-Q258)/Q258</f>
        <v>-7.1033938437253799E-3</v>
      </c>
      <c r="S259">
        <v>120.8</v>
      </c>
      <c r="T259">
        <v>120.7</v>
      </c>
      <c r="U259">
        <v>117.2</v>
      </c>
      <c r="V259">
        <v>120.1</v>
      </c>
      <c r="W259">
        <v>116.1</v>
      </c>
      <c r="X259">
        <v>114.3</v>
      </c>
      <c r="Y259" s="12">
        <f t="shared" ref="Y259:Y322" si="22">(X259-X258)/X258</f>
        <v>2.2361359570661897E-2</v>
      </c>
      <c r="Z259">
        <v>116.1</v>
      </c>
      <c r="AA259">
        <v>113.7</v>
      </c>
      <c r="AB259" s="12">
        <f t="shared" ref="AB259:AB322" si="23">(AA259-AA258)/AA258</f>
        <v>1.2466607301870042E-2</v>
      </c>
      <c r="AC259">
        <v>112</v>
      </c>
      <c r="AD259">
        <v>113.1</v>
      </c>
      <c r="AE259">
        <v>118.6</v>
      </c>
      <c r="AF259">
        <v>109.5</v>
      </c>
      <c r="AG259">
        <v>113.7</v>
      </c>
      <c r="AH259">
        <v>120.1</v>
      </c>
      <c r="AI259" s="11">
        <f t="shared" si="19"/>
        <v>7.550335570469727E-3</v>
      </c>
    </row>
    <row r="260" spans="1:35" x14ac:dyDescent="0.25">
      <c r="A260" t="s">
        <v>30</v>
      </c>
      <c r="B260">
        <v>2015</v>
      </c>
      <c r="C260">
        <v>9</v>
      </c>
      <c r="D260" s="13">
        <f t="shared" si="20"/>
        <v>42248</v>
      </c>
      <c r="E260">
        <v>125.1</v>
      </c>
      <c r="F260">
        <v>131.1</v>
      </c>
      <c r="G260">
        <v>120.7</v>
      </c>
      <c r="H260">
        <v>129.19999999999999</v>
      </c>
      <c r="I260">
        <v>114.7</v>
      </c>
      <c r="J260">
        <v>132.30000000000001</v>
      </c>
      <c r="K260">
        <v>158.9</v>
      </c>
      <c r="L260">
        <v>142.1</v>
      </c>
      <c r="M260">
        <v>92.5</v>
      </c>
      <c r="N260">
        <v>125.4</v>
      </c>
      <c r="O260">
        <v>121.9</v>
      </c>
      <c r="P260">
        <v>132.69999999999999</v>
      </c>
      <c r="Q260">
        <v>131</v>
      </c>
      <c r="R260" s="12">
        <f t="shared" si="21"/>
        <v>4.1335453100159007E-2</v>
      </c>
      <c r="S260">
        <v>131</v>
      </c>
      <c r="T260">
        <v>130.4</v>
      </c>
      <c r="U260">
        <v>126.8</v>
      </c>
      <c r="V260">
        <v>129.9</v>
      </c>
      <c r="W260" t="s">
        <v>31</v>
      </c>
      <c r="X260">
        <v>123.7</v>
      </c>
      <c r="Y260" s="12">
        <f t="shared" si="22"/>
        <v>8.2239720034995675E-2</v>
      </c>
      <c r="Z260">
        <v>124.5</v>
      </c>
      <c r="AA260">
        <v>121.4</v>
      </c>
      <c r="AB260" s="12">
        <f t="shared" si="23"/>
        <v>6.7722075637642945E-2</v>
      </c>
      <c r="AC260">
        <v>113.8</v>
      </c>
      <c r="AD260">
        <v>119.6</v>
      </c>
      <c r="AE260">
        <v>124.5</v>
      </c>
      <c r="AF260">
        <v>113.7</v>
      </c>
      <c r="AG260">
        <v>118.8</v>
      </c>
      <c r="AH260">
        <v>127</v>
      </c>
      <c r="AI260" s="11">
        <f t="shared" ref="AI260:AI323" si="24">(AH260-AH259)/AH259</f>
        <v>5.7452123230641181E-2</v>
      </c>
    </row>
    <row r="261" spans="1:35" x14ac:dyDescent="0.25">
      <c r="A261" t="s">
        <v>32</v>
      </c>
      <c r="B261">
        <v>2015</v>
      </c>
      <c r="C261">
        <v>9</v>
      </c>
      <c r="D261" s="13">
        <f t="shared" si="20"/>
        <v>42248</v>
      </c>
      <c r="E261">
        <v>123.4</v>
      </c>
      <c r="F261">
        <v>129</v>
      </c>
      <c r="G261">
        <v>115.6</v>
      </c>
      <c r="H261">
        <v>128.30000000000001</v>
      </c>
      <c r="I261">
        <v>107</v>
      </c>
      <c r="J261">
        <v>124</v>
      </c>
      <c r="K261">
        <v>168.5</v>
      </c>
      <c r="L261">
        <v>165.4</v>
      </c>
      <c r="M261">
        <v>86.3</v>
      </c>
      <c r="N261">
        <v>134.4</v>
      </c>
      <c r="O261">
        <v>119.1</v>
      </c>
      <c r="P261">
        <v>132.30000000000001</v>
      </c>
      <c r="Q261">
        <v>131.5</v>
      </c>
      <c r="R261" s="12">
        <f t="shared" si="21"/>
        <v>3.8167938931297708E-3</v>
      </c>
      <c r="S261">
        <v>134.69999999999999</v>
      </c>
      <c r="T261">
        <v>124</v>
      </c>
      <c r="U261">
        <v>118.6</v>
      </c>
      <c r="V261">
        <v>123.2</v>
      </c>
      <c r="W261">
        <v>121.6</v>
      </c>
      <c r="X261">
        <v>115.1</v>
      </c>
      <c r="Y261" s="12">
        <f t="shared" si="22"/>
        <v>-6.9523039611964502E-2</v>
      </c>
      <c r="Z261">
        <v>120.4</v>
      </c>
      <c r="AA261">
        <v>117.1</v>
      </c>
      <c r="AB261" s="12">
        <f t="shared" si="23"/>
        <v>-3.5420098846787575E-2</v>
      </c>
      <c r="AC261">
        <v>109.1</v>
      </c>
      <c r="AD261">
        <v>117.3</v>
      </c>
      <c r="AE261">
        <v>126.5</v>
      </c>
      <c r="AF261">
        <v>112.9</v>
      </c>
      <c r="AG261">
        <v>116.2</v>
      </c>
      <c r="AH261">
        <v>123.5</v>
      </c>
      <c r="AI261" s="11">
        <f t="shared" si="24"/>
        <v>-2.7559055118110236E-2</v>
      </c>
    </row>
    <row r="262" spans="1:35" x14ac:dyDescent="0.25">
      <c r="A262" t="s">
        <v>33</v>
      </c>
      <c r="B262">
        <v>2015</v>
      </c>
      <c r="C262">
        <v>9</v>
      </c>
      <c r="D262" s="13">
        <f t="shared" si="20"/>
        <v>42248</v>
      </c>
      <c r="E262">
        <v>124.6</v>
      </c>
      <c r="F262">
        <v>130.4</v>
      </c>
      <c r="G262">
        <v>118.7</v>
      </c>
      <c r="H262">
        <v>128.9</v>
      </c>
      <c r="I262">
        <v>111.9</v>
      </c>
      <c r="J262">
        <v>128.4</v>
      </c>
      <c r="K262">
        <v>162.19999999999999</v>
      </c>
      <c r="L262">
        <v>150</v>
      </c>
      <c r="M262">
        <v>90.4</v>
      </c>
      <c r="N262">
        <v>128.4</v>
      </c>
      <c r="O262">
        <v>120.7</v>
      </c>
      <c r="P262">
        <v>132.5</v>
      </c>
      <c r="Q262">
        <v>131.19999999999999</v>
      </c>
      <c r="R262" s="12">
        <f t="shared" si="21"/>
        <v>-2.281368821292862E-3</v>
      </c>
      <c r="S262">
        <v>132</v>
      </c>
      <c r="T262">
        <v>127.9</v>
      </c>
      <c r="U262">
        <v>123.4</v>
      </c>
      <c r="V262">
        <v>127.2</v>
      </c>
      <c r="W262">
        <v>121.6</v>
      </c>
      <c r="X262">
        <v>120.4</v>
      </c>
      <c r="Y262" s="12">
        <f t="shared" si="22"/>
        <v>4.6046915725456224E-2</v>
      </c>
      <c r="Z262">
        <v>122.6</v>
      </c>
      <c r="AA262">
        <v>119.8</v>
      </c>
      <c r="AB262" s="12">
        <f t="shared" si="23"/>
        <v>2.3057216054654169E-2</v>
      </c>
      <c r="AC262">
        <v>111.3</v>
      </c>
      <c r="AD262">
        <v>118.3</v>
      </c>
      <c r="AE262">
        <v>125.7</v>
      </c>
      <c r="AF262">
        <v>113.4</v>
      </c>
      <c r="AG262">
        <v>117.5</v>
      </c>
      <c r="AH262">
        <v>125.4</v>
      </c>
      <c r="AI262" s="11">
        <f t="shared" si="24"/>
        <v>1.5384615384615431E-2</v>
      </c>
    </row>
    <row r="263" spans="1:35" x14ac:dyDescent="0.25">
      <c r="A263" t="s">
        <v>30</v>
      </c>
      <c r="B263">
        <v>2016</v>
      </c>
      <c r="C263">
        <v>9</v>
      </c>
      <c r="D263" s="13">
        <f t="shared" si="20"/>
        <v>42614</v>
      </c>
      <c r="E263">
        <v>130.80000000000001</v>
      </c>
      <c r="F263">
        <v>138.19999999999999</v>
      </c>
      <c r="G263">
        <v>130.5</v>
      </c>
      <c r="H263">
        <v>135.5</v>
      </c>
      <c r="I263">
        <v>120.2</v>
      </c>
      <c r="J263">
        <v>139.19999999999999</v>
      </c>
      <c r="K263">
        <v>149.5</v>
      </c>
      <c r="L263">
        <v>170.4</v>
      </c>
      <c r="M263">
        <v>113.1</v>
      </c>
      <c r="N263">
        <v>135.80000000000001</v>
      </c>
      <c r="O263">
        <v>128.80000000000001</v>
      </c>
      <c r="P263">
        <v>141.5</v>
      </c>
      <c r="Q263">
        <v>137.19999999999999</v>
      </c>
      <c r="R263" s="12">
        <f t="shared" si="21"/>
        <v>4.5731707317073177E-2</v>
      </c>
      <c r="S263">
        <v>139.9</v>
      </c>
      <c r="T263">
        <v>138.5</v>
      </c>
      <c r="U263">
        <v>133.5</v>
      </c>
      <c r="V263">
        <v>137.80000000000001</v>
      </c>
      <c r="W263" t="s">
        <v>31</v>
      </c>
      <c r="X263">
        <v>129.69999999999999</v>
      </c>
      <c r="Y263" s="12">
        <f t="shared" si="22"/>
        <v>7.7242524916943375E-2</v>
      </c>
      <c r="Z263">
        <v>131.1</v>
      </c>
      <c r="AA263">
        <v>127.8</v>
      </c>
      <c r="AB263" s="12">
        <f t="shared" si="23"/>
        <v>6.6777963272120197E-2</v>
      </c>
      <c r="AC263">
        <v>117</v>
      </c>
      <c r="AD263">
        <v>125.7</v>
      </c>
      <c r="AE263">
        <v>132.19999999999999</v>
      </c>
      <c r="AF263">
        <v>122.8</v>
      </c>
      <c r="AG263">
        <v>124.9</v>
      </c>
      <c r="AH263">
        <v>133.4</v>
      </c>
      <c r="AI263" s="11">
        <f t="shared" si="24"/>
        <v>6.3795853269537475E-2</v>
      </c>
    </row>
    <row r="264" spans="1:35" x14ac:dyDescent="0.25">
      <c r="A264" t="s">
        <v>32</v>
      </c>
      <c r="B264">
        <v>2016</v>
      </c>
      <c r="C264">
        <v>9</v>
      </c>
      <c r="D264" s="13">
        <f t="shared" si="20"/>
        <v>42614</v>
      </c>
      <c r="E264">
        <v>128.1</v>
      </c>
      <c r="F264">
        <v>137.69999999999999</v>
      </c>
      <c r="G264">
        <v>130.6</v>
      </c>
      <c r="H264">
        <v>132.6</v>
      </c>
      <c r="I264">
        <v>111.9</v>
      </c>
      <c r="J264">
        <v>132.5</v>
      </c>
      <c r="K264">
        <v>152.9</v>
      </c>
      <c r="L264">
        <v>173.6</v>
      </c>
      <c r="M264">
        <v>115.1</v>
      </c>
      <c r="N264">
        <v>144.80000000000001</v>
      </c>
      <c r="O264">
        <v>122.1</v>
      </c>
      <c r="P264">
        <v>138.80000000000001</v>
      </c>
      <c r="Q264">
        <v>135.69999999999999</v>
      </c>
      <c r="R264" s="12">
        <f t="shared" si="21"/>
        <v>-1.0932944606413995E-2</v>
      </c>
      <c r="S264">
        <v>143.9</v>
      </c>
      <c r="T264">
        <v>128.69999999999999</v>
      </c>
      <c r="U264">
        <v>121.6</v>
      </c>
      <c r="V264">
        <v>127.7</v>
      </c>
      <c r="W264">
        <v>127.9</v>
      </c>
      <c r="X264">
        <v>114.8</v>
      </c>
      <c r="Y264" s="12">
        <f t="shared" si="22"/>
        <v>-0.11488049344641475</v>
      </c>
      <c r="Z264">
        <v>124.3</v>
      </c>
      <c r="AA264">
        <v>121.4</v>
      </c>
      <c r="AB264" s="12">
        <f t="shared" si="23"/>
        <v>-5.0078247261345785E-2</v>
      </c>
      <c r="AC264">
        <v>111.8</v>
      </c>
      <c r="AD264">
        <v>120.8</v>
      </c>
      <c r="AE264">
        <v>131.6</v>
      </c>
      <c r="AF264">
        <v>121.2</v>
      </c>
      <c r="AG264">
        <v>120.5</v>
      </c>
      <c r="AH264">
        <v>128</v>
      </c>
      <c r="AI264" s="11">
        <f t="shared" si="24"/>
        <v>-4.0479760119940068E-2</v>
      </c>
    </row>
    <row r="265" spans="1:35" x14ac:dyDescent="0.25">
      <c r="A265" t="s">
        <v>33</v>
      </c>
      <c r="B265">
        <v>2016</v>
      </c>
      <c r="C265">
        <v>9</v>
      </c>
      <c r="D265" s="13">
        <f t="shared" si="20"/>
        <v>42614</v>
      </c>
      <c r="E265">
        <v>129.9</v>
      </c>
      <c r="F265">
        <v>138</v>
      </c>
      <c r="G265">
        <v>130.5</v>
      </c>
      <c r="H265">
        <v>134.4</v>
      </c>
      <c r="I265">
        <v>117.2</v>
      </c>
      <c r="J265">
        <v>136.1</v>
      </c>
      <c r="K265">
        <v>150.69999999999999</v>
      </c>
      <c r="L265">
        <v>171.5</v>
      </c>
      <c r="M265">
        <v>113.8</v>
      </c>
      <c r="N265">
        <v>138.80000000000001</v>
      </c>
      <c r="O265">
        <v>126</v>
      </c>
      <c r="P265">
        <v>140.19999999999999</v>
      </c>
      <c r="Q265">
        <v>136.6</v>
      </c>
      <c r="R265" s="12">
        <f t="shared" si="21"/>
        <v>6.6322770817981262E-3</v>
      </c>
      <c r="S265">
        <v>141</v>
      </c>
      <c r="T265">
        <v>134.6</v>
      </c>
      <c r="U265">
        <v>128.6</v>
      </c>
      <c r="V265">
        <v>133.80000000000001</v>
      </c>
      <c r="W265">
        <v>127.9</v>
      </c>
      <c r="X265">
        <v>124.1</v>
      </c>
      <c r="Y265" s="12">
        <f t="shared" si="22"/>
        <v>8.1010452961672447E-2</v>
      </c>
      <c r="Z265">
        <v>127.9</v>
      </c>
      <c r="AA265">
        <v>125.4</v>
      </c>
      <c r="AB265" s="12">
        <f t="shared" si="23"/>
        <v>3.2948929159802305E-2</v>
      </c>
      <c r="AC265">
        <v>114.3</v>
      </c>
      <c r="AD265">
        <v>122.9</v>
      </c>
      <c r="AE265">
        <v>131.80000000000001</v>
      </c>
      <c r="AF265">
        <v>122.1</v>
      </c>
      <c r="AG265">
        <v>122.8</v>
      </c>
      <c r="AH265">
        <v>130.9</v>
      </c>
      <c r="AI265" s="11">
        <f t="shared" si="24"/>
        <v>2.2656250000000044E-2</v>
      </c>
    </row>
    <row r="266" spans="1:35" x14ac:dyDescent="0.25">
      <c r="A266" t="s">
        <v>30</v>
      </c>
      <c r="B266">
        <v>2017</v>
      </c>
      <c r="C266">
        <v>9</v>
      </c>
      <c r="D266" s="13">
        <f t="shared" si="20"/>
        <v>42979</v>
      </c>
      <c r="E266">
        <v>135.19999999999999</v>
      </c>
      <c r="F266">
        <v>142</v>
      </c>
      <c r="G266">
        <v>130.5</v>
      </c>
      <c r="H266">
        <v>140.19999999999999</v>
      </c>
      <c r="I266">
        <v>120.7</v>
      </c>
      <c r="J266">
        <v>147.80000000000001</v>
      </c>
      <c r="K266">
        <v>154.5</v>
      </c>
      <c r="L266">
        <v>137.1</v>
      </c>
      <c r="M266">
        <v>121</v>
      </c>
      <c r="N266">
        <v>134.69999999999999</v>
      </c>
      <c r="O266">
        <v>131.69999999999999</v>
      </c>
      <c r="P266">
        <v>149.30000000000001</v>
      </c>
      <c r="Q266">
        <v>139.6</v>
      </c>
      <c r="R266" s="12">
        <f t="shared" si="21"/>
        <v>2.1961932650073207E-2</v>
      </c>
      <c r="S266">
        <v>149.80000000000001</v>
      </c>
      <c r="T266">
        <v>146.1</v>
      </c>
      <c r="U266">
        <v>139.69999999999999</v>
      </c>
      <c r="V266">
        <v>145.19999999999999</v>
      </c>
      <c r="W266" t="s">
        <v>31</v>
      </c>
      <c r="X266">
        <v>137.4</v>
      </c>
      <c r="Y266" s="12">
        <f t="shared" si="22"/>
        <v>0.10717163577759881</v>
      </c>
      <c r="Z266">
        <v>137.9</v>
      </c>
      <c r="AA266">
        <v>133.4</v>
      </c>
      <c r="AB266" s="12">
        <f t="shared" si="23"/>
        <v>6.3795853269537475E-2</v>
      </c>
      <c r="AC266">
        <v>121.2</v>
      </c>
      <c r="AD266">
        <v>132.30000000000001</v>
      </c>
      <c r="AE266">
        <v>139.6</v>
      </c>
      <c r="AF266">
        <v>126.7</v>
      </c>
      <c r="AG266">
        <v>130.30000000000001</v>
      </c>
      <c r="AH266">
        <v>137.6</v>
      </c>
      <c r="AI266" s="11">
        <f t="shared" si="24"/>
        <v>5.1184110007639332E-2</v>
      </c>
    </row>
    <row r="267" spans="1:35" x14ac:dyDescent="0.25">
      <c r="A267" t="s">
        <v>32</v>
      </c>
      <c r="B267">
        <v>2017</v>
      </c>
      <c r="C267">
        <v>9</v>
      </c>
      <c r="D267" s="13">
        <f t="shared" si="20"/>
        <v>42979</v>
      </c>
      <c r="E267">
        <v>133.6</v>
      </c>
      <c r="F267">
        <v>143</v>
      </c>
      <c r="G267">
        <v>129.69999999999999</v>
      </c>
      <c r="H267">
        <v>138.69999999999999</v>
      </c>
      <c r="I267">
        <v>114.5</v>
      </c>
      <c r="J267">
        <v>137.5</v>
      </c>
      <c r="K267">
        <v>160.69999999999999</v>
      </c>
      <c r="L267">
        <v>124.5</v>
      </c>
      <c r="M267">
        <v>122.4</v>
      </c>
      <c r="N267">
        <v>137.30000000000001</v>
      </c>
      <c r="O267">
        <v>124.8</v>
      </c>
      <c r="P267">
        <v>145</v>
      </c>
      <c r="Q267">
        <v>138</v>
      </c>
      <c r="R267" s="12">
        <f t="shared" si="21"/>
        <v>-1.1461318051575891E-2</v>
      </c>
      <c r="S267">
        <v>153.6</v>
      </c>
      <c r="T267">
        <v>133.30000000000001</v>
      </c>
      <c r="U267">
        <v>124.6</v>
      </c>
      <c r="V267">
        <v>132</v>
      </c>
      <c r="W267">
        <v>135.69999999999999</v>
      </c>
      <c r="X267">
        <v>120.6</v>
      </c>
      <c r="Y267" s="12">
        <f t="shared" si="22"/>
        <v>-0.12227074235807868</v>
      </c>
      <c r="Z267">
        <v>128.1</v>
      </c>
      <c r="AA267">
        <v>126.1</v>
      </c>
      <c r="AB267" s="12">
        <f t="shared" si="23"/>
        <v>-5.4722638680659755E-2</v>
      </c>
      <c r="AC267">
        <v>115.7</v>
      </c>
      <c r="AD267">
        <v>124.5</v>
      </c>
      <c r="AE267">
        <v>135.9</v>
      </c>
      <c r="AF267">
        <v>124.4</v>
      </c>
      <c r="AG267">
        <v>124.5</v>
      </c>
      <c r="AH267">
        <v>132.4</v>
      </c>
      <c r="AI267" s="11">
        <f t="shared" si="24"/>
        <v>-3.7790697674418526E-2</v>
      </c>
    </row>
    <row r="268" spans="1:35" x14ac:dyDescent="0.25">
      <c r="A268" t="s">
        <v>33</v>
      </c>
      <c r="B268">
        <v>2017</v>
      </c>
      <c r="C268">
        <v>9</v>
      </c>
      <c r="D268" s="13">
        <f t="shared" si="20"/>
        <v>42979</v>
      </c>
      <c r="E268">
        <v>134.69999999999999</v>
      </c>
      <c r="F268">
        <v>142.4</v>
      </c>
      <c r="G268">
        <v>130.19999999999999</v>
      </c>
      <c r="H268">
        <v>139.6</v>
      </c>
      <c r="I268">
        <v>118.4</v>
      </c>
      <c r="J268">
        <v>143</v>
      </c>
      <c r="K268">
        <v>156.6</v>
      </c>
      <c r="L268">
        <v>132.9</v>
      </c>
      <c r="M268">
        <v>121.5</v>
      </c>
      <c r="N268">
        <v>135.6</v>
      </c>
      <c r="O268">
        <v>128.80000000000001</v>
      </c>
      <c r="P268">
        <v>147.30000000000001</v>
      </c>
      <c r="Q268">
        <v>139</v>
      </c>
      <c r="R268" s="12">
        <f t="shared" si="21"/>
        <v>7.246376811594203E-3</v>
      </c>
      <c r="S268">
        <v>150.80000000000001</v>
      </c>
      <c r="T268">
        <v>141.1</v>
      </c>
      <c r="U268">
        <v>133.4</v>
      </c>
      <c r="V268">
        <v>140</v>
      </c>
      <c r="W268">
        <v>135.69999999999999</v>
      </c>
      <c r="X268">
        <v>131</v>
      </c>
      <c r="Y268" s="12">
        <f t="shared" si="22"/>
        <v>8.6235489220563899E-2</v>
      </c>
      <c r="Z268">
        <v>133.30000000000001</v>
      </c>
      <c r="AA268">
        <v>130.6</v>
      </c>
      <c r="AB268" s="12">
        <f t="shared" si="23"/>
        <v>3.5685963521015072E-2</v>
      </c>
      <c r="AC268">
        <v>118.3</v>
      </c>
      <c r="AD268">
        <v>127.9</v>
      </c>
      <c r="AE268">
        <v>137.4</v>
      </c>
      <c r="AF268">
        <v>125.7</v>
      </c>
      <c r="AG268">
        <v>127.5</v>
      </c>
      <c r="AH268">
        <v>135.19999999999999</v>
      </c>
      <c r="AI268" s="11">
        <f t="shared" si="24"/>
        <v>2.1148036253776304E-2</v>
      </c>
    </row>
    <row r="269" spans="1:35" x14ac:dyDescent="0.25">
      <c r="A269" t="s">
        <v>30</v>
      </c>
      <c r="B269">
        <v>2018</v>
      </c>
      <c r="C269">
        <v>9</v>
      </c>
      <c r="D269" s="13">
        <f t="shared" si="20"/>
        <v>43344</v>
      </c>
      <c r="E269">
        <v>139.4</v>
      </c>
      <c r="F269">
        <v>147.19999999999999</v>
      </c>
      <c r="G269">
        <v>136.6</v>
      </c>
      <c r="H269">
        <v>143.69999999999999</v>
      </c>
      <c r="I269">
        <v>124.6</v>
      </c>
      <c r="J269">
        <v>150.1</v>
      </c>
      <c r="K269">
        <v>149.4</v>
      </c>
      <c r="L269">
        <v>125.4</v>
      </c>
      <c r="M269">
        <v>114.4</v>
      </c>
      <c r="N269">
        <v>138.69999999999999</v>
      </c>
      <c r="O269">
        <v>133.1</v>
      </c>
      <c r="P269">
        <v>155.9</v>
      </c>
      <c r="Q269">
        <v>141.30000000000001</v>
      </c>
      <c r="R269" s="12">
        <f t="shared" si="21"/>
        <v>1.6546762589928141E-2</v>
      </c>
      <c r="S269">
        <v>157.69999999999999</v>
      </c>
      <c r="T269">
        <v>152.1</v>
      </c>
      <c r="U269">
        <v>146.1</v>
      </c>
      <c r="V269">
        <v>151.30000000000001</v>
      </c>
      <c r="W269" t="s">
        <v>31</v>
      </c>
      <c r="X269">
        <v>149</v>
      </c>
      <c r="Y269" s="12">
        <f t="shared" si="22"/>
        <v>0.13740458015267176</v>
      </c>
      <c r="Z269">
        <v>144</v>
      </c>
      <c r="AA269">
        <v>140</v>
      </c>
      <c r="AB269" s="12">
        <f t="shared" si="23"/>
        <v>7.1975497702909688E-2</v>
      </c>
      <c r="AC269">
        <v>129.9</v>
      </c>
      <c r="AD269">
        <v>140</v>
      </c>
      <c r="AE269">
        <v>147.6</v>
      </c>
      <c r="AF269">
        <v>132</v>
      </c>
      <c r="AG269">
        <v>137.4</v>
      </c>
      <c r="AH269">
        <v>142.1</v>
      </c>
      <c r="AI269" s="11">
        <f t="shared" si="24"/>
        <v>5.1035502958579927E-2</v>
      </c>
    </row>
    <row r="270" spans="1:35" x14ac:dyDescent="0.25">
      <c r="A270" t="s">
        <v>32</v>
      </c>
      <c r="B270">
        <v>2018</v>
      </c>
      <c r="C270">
        <v>9</v>
      </c>
      <c r="D270" s="13">
        <f t="shared" si="20"/>
        <v>43344</v>
      </c>
      <c r="E270">
        <v>137</v>
      </c>
      <c r="F270">
        <v>143.1</v>
      </c>
      <c r="G270">
        <v>132.80000000000001</v>
      </c>
      <c r="H270">
        <v>141.5</v>
      </c>
      <c r="I270">
        <v>117.8</v>
      </c>
      <c r="J270">
        <v>140</v>
      </c>
      <c r="K270">
        <v>151.30000000000001</v>
      </c>
      <c r="L270">
        <v>113.5</v>
      </c>
      <c r="M270">
        <v>112.3</v>
      </c>
      <c r="N270">
        <v>141.19999999999999</v>
      </c>
      <c r="O270">
        <v>127.7</v>
      </c>
      <c r="P270">
        <v>151.30000000000001</v>
      </c>
      <c r="Q270">
        <v>138.9</v>
      </c>
      <c r="R270" s="12">
        <f t="shared" si="21"/>
        <v>-1.6985138004246322E-2</v>
      </c>
      <c r="S270">
        <v>163.30000000000001</v>
      </c>
      <c r="T270">
        <v>140.80000000000001</v>
      </c>
      <c r="U270">
        <v>129.30000000000001</v>
      </c>
      <c r="V270">
        <v>139.1</v>
      </c>
      <c r="W270">
        <v>145.30000000000001</v>
      </c>
      <c r="X270">
        <v>131.19999999999999</v>
      </c>
      <c r="Y270" s="12">
        <f t="shared" si="22"/>
        <v>-0.11946308724832222</v>
      </c>
      <c r="Z270">
        <v>134.9</v>
      </c>
      <c r="AA270">
        <v>135.69999999999999</v>
      </c>
      <c r="AB270" s="12">
        <f t="shared" si="23"/>
        <v>-3.0714285714285795E-2</v>
      </c>
      <c r="AC270">
        <v>122.5</v>
      </c>
      <c r="AD270">
        <v>130.19999999999999</v>
      </c>
      <c r="AE270">
        <v>145.19999999999999</v>
      </c>
      <c r="AF270">
        <v>129.30000000000001</v>
      </c>
      <c r="AG270">
        <v>131.9</v>
      </c>
      <c r="AH270">
        <v>138.1</v>
      </c>
      <c r="AI270" s="11">
        <f t="shared" si="24"/>
        <v>-2.8149190710767068E-2</v>
      </c>
    </row>
    <row r="271" spans="1:35" x14ac:dyDescent="0.25">
      <c r="A271" t="s">
        <v>33</v>
      </c>
      <c r="B271">
        <v>2018</v>
      </c>
      <c r="C271">
        <v>9</v>
      </c>
      <c r="D271" s="13">
        <f t="shared" si="20"/>
        <v>43344</v>
      </c>
      <c r="E271">
        <v>138.6</v>
      </c>
      <c r="F271">
        <v>145.80000000000001</v>
      </c>
      <c r="G271">
        <v>135.1</v>
      </c>
      <c r="H271">
        <v>142.9</v>
      </c>
      <c r="I271">
        <v>122.1</v>
      </c>
      <c r="J271">
        <v>145.4</v>
      </c>
      <c r="K271">
        <v>150</v>
      </c>
      <c r="L271">
        <v>121.4</v>
      </c>
      <c r="M271">
        <v>113.7</v>
      </c>
      <c r="N271">
        <v>139.5</v>
      </c>
      <c r="O271">
        <v>130.80000000000001</v>
      </c>
      <c r="P271">
        <v>153.80000000000001</v>
      </c>
      <c r="Q271">
        <v>140.4</v>
      </c>
      <c r="R271" s="12">
        <f t="shared" si="21"/>
        <v>1.079913606911447E-2</v>
      </c>
      <c r="S271">
        <v>159.19999999999999</v>
      </c>
      <c r="T271">
        <v>147.69999999999999</v>
      </c>
      <c r="U271">
        <v>139.1</v>
      </c>
      <c r="V271">
        <v>146.5</v>
      </c>
      <c r="W271">
        <v>145.30000000000001</v>
      </c>
      <c r="X271">
        <v>142.30000000000001</v>
      </c>
      <c r="Y271" s="12">
        <f t="shared" si="22"/>
        <v>8.4603658536585552E-2</v>
      </c>
      <c r="Z271">
        <v>139.69999999999999</v>
      </c>
      <c r="AA271">
        <v>138.4</v>
      </c>
      <c r="AB271" s="12">
        <f t="shared" si="23"/>
        <v>1.9896831245394379E-2</v>
      </c>
      <c r="AC271">
        <v>126</v>
      </c>
      <c r="AD271">
        <v>134.5</v>
      </c>
      <c r="AE271">
        <v>146.19999999999999</v>
      </c>
      <c r="AF271">
        <v>130.9</v>
      </c>
      <c r="AG271">
        <v>134.69999999999999</v>
      </c>
      <c r="AH271">
        <v>140.19999999999999</v>
      </c>
      <c r="AI271" s="11">
        <f t="shared" si="24"/>
        <v>1.5206372194062233E-2</v>
      </c>
    </row>
    <row r="272" spans="1:35" x14ac:dyDescent="0.25">
      <c r="A272" t="s">
        <v>30</v>
      </c>
      <c r="B272">
        <v>2019</v>
      </c>
      <c r="C272">
        <v>9</v>
      </c>
      <c r="D272" s="13">
        <f t="shared" si="20"/>
        <v>43709</v>
      </c>
      <c r="E272">
        <v>140.1</v>
      </c>
      <c r="F272">
        <v>161.9</v>
      </c>
      <c r="G272">
        <v>138.30000000000001</v>
      </c>
      <c r="H272">
        <v>145.69999999999999</v>
      </c>
      <c r="I272">
        <v>125.1</v>
      </c>
      <c r="J272">
        <v>143.80000000000001</v>
      </c>
      <c r="K272">
        <v>163.4</v>
      </c>
      <c r="L272">
        <v>132.19999999999999</v>
      </c>
      <c r="M272">
        <v>112.8</v>
      </c>
      <c r="N272">
        <v>144.19999999999999</v>
      </c>
      <c r="O272">
        <v>138.5</v>
      </c>
      <c r="P272">
        <v>157.19999999999999</v>
      </c>
      <c r="Q272">
        <v>145.5</v>
      </c>
      <c r="R272" s="12">
        <f t="shared" si="21"/>
        <v>3.6324786324786286E-2</v>
      </c>
      <c r="S272">
        <v>165.7</v>
      </c>
      <c r="T272">
        <v>151.69999999999999</v>
      </c>
      <c r="U272">
        <v>146.6</v>
      </c>
      <c r="V272">
        <v>151</v>
      </c>
      <c r="W272" t="s">
        <v>31</v>
      </c>
      <c r="X272">
        <v>146.9</v>
      </c>
      <c r="Y272" s="12">
        <f t="shared" si="22"/>
        <v>3.2326071679550206E-2</v>
      </c>
      <c r="Z272">
        <v>150.30000000000001</v>
      </c>
      <c r="AA272">
        <v>153.4</v>
      </c>
      <c r="AB272" s="12">
        <f t="shared" si="23"/>
        <v>0.10838150289017341</v>
      </c>
      <c r="AC272">
        <v>131.6</v>
      </c>
      <c r="AD272">
        <v>148.30000000000001</v>
      </c>
      <c r="AE272">
        <v>160.19999999999999</v>
      </c>
      <c r="AF272">
        <v>140.19999999999999</v>
      </c>
      <c r="AG272">
        <v>145.4</v>
      </c>
      <c r="AH272">
        <v>146.69999999999999</v>
      </c>
      <c r="AI272" s="11">
        <f t="shared" si="24"/>
        <v>4.6362339514978604E-2</v>
      </c>
    </row>
    <row r="273" spans="1:35" x14ac:dyDescent="0.25">
      <c r="A273" t="s">
        <v>32</v>
      </c>
      <c r="B273">
        <v>2019</v>
      </c>
      <c r="C273">
        <v>9</v>
      </c>
      <c r="D273" s="13">
        <f t="shared" si="20"/>
        <v>43709</v>
      </c>
      <c r="E273">
        <v>142.69999999999999</v>
      </c>
      <c r="F273">
        <v>158.69999999999999</v>
      </c>
      <c r="G273">
        <v>141.6</v>
      </c>
      <c r="H273">
        <v>144.9</v>
      </c>
      <c r="I273">
        <v>120.8</v>
      </c>
      <c r="J273">
        <v>149.80000000000001</v>
      </c>
      <c r="K273">
        <v>192.4</v>
      </c>
      <c r="L273">
        <v>130.30000000000001</v>
      </c>
      <c r="M273">
        <v>114</v>
      </c>
      <c r="N273">
        <v>143.80000000000001</v>
      </c>
      <c r="O273">
        <v>130</v>
      </c>
      <c r="P273">
        <v>156.4</v>
      </c>
      <c r="Q273">
        <v>149.5</v>
      </c>
      <c r="R273" s="12">
        <f t="shared" si="21"/>
        <v>2.7491408934707903E-2</v>
      </c>
      <c r="S273">
        <v>168.6</v>
      </c>
      <c r="T273">
        <v>145.30000000000001</v>
      </c>
      <c r="U273">
        <v>132.19999999999999</v>
      </c>
      <c r="V273">
        <v>143.30000000000001</v>
      </c>
      <c r="W273">
        <v>152.19999999999999</v>
      </c>
      <c r="X273">
        <v>126.6</v>
      </c>
      <c r="Y273" s="12">
        <f t="shared" si="22"/>
        <v>-0.13818924438393473</v>
      </c>
      <c r="Z273">
        <v>138.30000000000001</v>
      </c>
      <c r="AA273">
        <v>141.9</v>
      </c>
      <c r="AB273" s="12">
        <f t="shared" si="23"/>
        <v>-7.4967405475880045E-2</v>
      </c>
      <c r="AC273">
        <v>121.2</v>
      </c>
      <c r="AD273">
        <v>135.9</v>
      </c>
      <c r="AE273">
        <v>151.6</v>
      </c>
      <c r="AF273">
        <v>139</v>
      </c>
      <c r="AG273">
        <v>135.69999999999999</v>
      </c>
      <c r="AH273">
        <v>144.69999999999999</v>
      </c>
      <c r="AI273" s="11">
        <f t="shared" si="24"/>
        <v>-1.36332651670075E-2</v>
      </c>
    </row>
    <row r="274" spans="1:35" x14ac:dyDescent="0.25">
      <c r="A274" t="s">
        <v>33</v>
      </c>
      <c r="B274">
        <v>2019</v>
      </c>
      <c r="C274">
        <v>9</v>
      </c>
      <c r="D274" s="13">
        <f t="shared" si="20"/>
        <v>43709</v>
      </c>
      <c r="E274">
        <v>140.9</v>
      </c>
      <c r="F274">
        <v>160.80000000000001</v>
      </c>
      <c r="G274">
        <v>139.6</v>
      </c>
      <c r="H274">
        <v>145.4</v>
      </c>
      <c r="I274">
        <v>123.5</v>
      </c>
      <c r="J274">
        <v>146.6</v>
      </c>
      <c r="K274">
        <v>173.2</v>
      </c>
      <c r="L274">
        <v>131.6</v>
      </c>
      <c r="M274">
        <v>113.2</v>
      </c>
      <c r="N274">
        <v>144.1</v>
      </c>
      <c r="O274">
        <v>135</v>
      </c>
      <c r="P274">
        <v>156.80000000000001</v>
      </c>
      <c r="Q274">
        <v>147</v>
      </c>
      <c r="R274" s="12">
        <f t="shared" si="21"/>
        <v>-1.6722408026755852E-2</v>
      </c>
      <c r="S274">
        <v>166.5</v>
      </c>
      <c r="T274">
        <v>149.19999999999999</v>
      </c>
      <c r="U274">
        <v>140.6</v>
      </c>
      <c r="V274">
        <v>147.9</v>
      </c>
      <c r="W274">
        <v>152.19999999999999</v>
      </c>
      <c r="X274">
        <v>139.19999999999999</v>
      </c>
      <c r="Y274" s="12">
        <f t="shared" si="22"/>
        <v>9.9526066350710859E-2</v>
      </c>
      <c r="Z274">
        <v>144.6</v>
      </c>
      <c r="AA274">
        <v>149</v>
      </c>
      <c r="AB274" s="12">
        <f t="shared" si="23"/>
        <v>5.0035236081747668E-2</v>
      </c>
      <c r="AC274">
        <v>126.1</v>
      </c>
      <c r="AD274">
        <v>141.30000000000001</v>
      </c>
      <c r="AE274">
        <v>155.19999999999999</v>
      </c>
      <c r="AF274">
        <v>139.69999999999999</v>
      </c>
      <c r="AG274">
        <v>140.69999999999999</v>
      </c>
      <c r="AH274">
        <v>145.80000000000001</v>
      </c>
      <c r="AI274" s="11">
        <f t="shared" si="24"/>
        <v>7.6019350380098329E-3</v>
      </c>
    </row>
    <row r="275" spans="1:35" x14ac:dyDescent="0.25">
      <c r="A275" t="s">
        <v>30</v>
      </c>
      <c r="B275">
        <v>2020</v>
      </c>
      <c r="C275">
        <v>9</v>
      </c>
      <c r="D275" s="13">
        <f t="shared" si="20"/>
        <v>44075</v>
      </c>
      <c r="E275">
        <v>146.9</v>
      </c>
      <c r="F275">
        <v>183.9</v>
      </c>
      <c r="G275">
        <v>149.5</v>
      </c>
      <c r="H275">
        <v>153.4</v>
      </c>
      <c r="I275">
        <v>140.4</v>
      </c>
      <c r="J275">
        <v>147</v>
      </c>
      <c r="K275">
        <v>178.8</v>
      </c>
      <c r="L275">
        <v>149.30000000000001</v>
      </c>
      <c r="M275">
        <v>115.1</v>
      </c>
      <c r="N275">
        <v>160</v>
      </c>
      <c r="O275">
        <v>145.4</v>
      </c>
      <c r="P275">
        <v>161.6</v>
      </c>
      <c r="Q275">
        <v>156.1</v>
      </c>
      <c r="R275" s="12">
        <f t="shared" si="21"/>
        <v>6.1904761904761865E-2</v>
      </c>
      <c r="S275">
        <v>182.9</v>
      </c>
      <c r="T275">
        <v>155.4</v>
      </c>
      <c r="U275">
        <v>149.9</v>
      </c>
      <c r="V275">
        <v>154.6</v>
      </c>
      <c r="W275" t="s">
        <v>31</v>
      </c>
      <c r="X275">
        <v>146.4</v>
      </c>
      <c r="Y275" s="12">
        <f t="shared" si="22"/>
        <v>5.1724137931034607E-2</v>
      </c>
      <c r="Z275">
        <v>151.6</v>
      </c>
      <c r="AA275">
        <v>159.1</v>
      </c>
      <c r="AB275" s="12">
        <f t="shared" si="23"/>
        <v>6.778523489932882E-2</v>
      </c>
      <c r="AC275">
        <v>144.6</v>
      </c>
      <c r="AD275">
        <v>152.80000000000001</v>
      </c>
      <c r="AE275">
        <v>161.1</v>
      </c>
      <c r="AF275">
        <v>157.4</v>
      </c>
      <c r="AG275">
        <v>153.69999999999999</v>
      </c>
      <c r="AH275">
        <v>155.4</v>
      </c>
      <c r="AI275" s="11">
        <f t="shared" si="24"/>
        <v>6.5843621399176905E-2</v>
      </c>
    </row>
    <row r="276" spans="1:35" x14ac:dyDescent="0.25">
      <c r="A276" t="s">
        <v>32</v>
      </c>
      <c r="B276">
        <v>2020</v>
      </c>
      <c r="C276">
        <v>9</v>
      </c>
      <c r="D276" s="13">
        <f t="shared" si="20"/>
        <v>44075</v>
      </c>
      <c r="E276">
        <v>151.5</v>
      </c>
      <c r="F276">
        <v>193.1</v>
      </c>
      <c r="G276">
        <v>157.30000000000001</v>
      </c>
      <c r="H276">
        <v>153.9</v>
      </c>
      <c r="I276">
        <v>134.4</v>
      </c>
      <c r="J276">
        <v>155.4</v>
      </c>
      <c r="K276">
        <v>202</v>
      </c>
      <c r="L276">
        <v>150.80000000000001</v>
      </c>
      <c r="M276">
        <v>118.9</v>
      </c>
      <c r="N276">
        <v>160.9</v>
      </c>
      <c r="O276">
        <v>137.69999999999999</v>
      </c>
      <c r="P276">
        <v>164.4</v>
      </c>
      <c r="Q276">
        <v>161.30000000000001</v>
      </c>
      <c r="R276" s="12">
        <f t="shared" si="21"/>
        <v>3.3311979500320416E-2</v>
      </c>
      <c r="S276">
        <v>188.7</v>
      </c>
      <c r="T276">
        <v>150.19999999999999</v>
      </c>
      <c r="U276">
        <v>136.30000000000001</v>
      </c>
      <c r="V276">
        <v>148.1</v>
      </c>
      <c r="W276">
        <v>156.30000000000001</v>
      </c>
      <c r="X276">
        <v>137.19999999999999</v>
      </c>
      <c r="Y276" s="12">
        <f t="shared" si="22"/>
        <v>-6.284153005464492E-2</v>
      </c>
      <c r="Z276">
        <v>145.4</v>
      </c>
      <c r="AA276">
        <v>150</v>
      </c>
      <c r="AB276" s="12">
        <f t="shared" si="23"/>
        <v>-5.7196731615336234E-2</v>
      </c>
      <c r="AC276">
        <v>135.1</v>
      </c>
      <c r="AD276">
        <v>141.80000000000001</v>
      </c>
      <c r="AE276">
        <v>154.9</v>
      </c>
      <c r="AF276">
        <v>159.80000000000001</v>
      </c>
      <c r="AG276">
        <v>146</v>
      </c>
      <c r="AH276">
        <v>154</v>
      </c>
      <c r="AI276" s="11">
        <f t="shared" si="24"/>
        <v>-9.0090090090090454E-3</v>
      </c>
    </row>
    <row r="277" spans="1:35" x14ac:dyDescent="0.25">
      <c r="A277" t="s">
        <v>33</v>
      </c>
      <c r="B277">
        <v>2020</v>
      </c>
      <c r="C277">
        <v>9</v>
      </c>
      <c r="D277" s="13">
        <f t="shared" si="20"/>
        <v>44075</v>
      </c>
      <c r="E277">
        <v>148.4</v>
      </c>
      <c r="F277">
        <v>187.1</v>
      </c>
      <c r="G277">
        <v>152.5</v>
      </c>
      <c r="H277">
        <v>153.6</v>
      </c>
      <c r="I277">
        <v>138.19999999999999</v>
      </c>
      <c r="J277">
        <v>150.9</v>
      </c>
      <c r="K277">
        <v>186.7</v>
      </c>
      <c r="L277">
        <v>149.80000000000001</v>
      </c>
      <c r="M277">
        <v>116.4</v>
      </c>
      <c r="N277">
        <v>160.30000000000001</v>
      </c>
      <c r="O277">
        <v>142.19999999999999</v>
      </c>
      <c r="P277">
        <v>162.9</v>
      </c>
      <c r="Q277">
        <v>158</v>
      </c>
      <c r="R277" s="12">
        <f t="shared" si="21"/>
        <v>-2.0458772473651649E-2</v>
      </c>
      <c r="S277">
        <v>184.4</v>
      </c>
      <c r="T277">
        <v>153.4</v>
      </c>
      <c r="U277">
        <v>144.30000000000001</v>
      </c>
      <c r="V277">
        <v>152</v>
      </c>
      <c r="W277">
        <v>156.30000000000001</v>
      </c>
      <c r="X277">
        <v>142.9</v>
      </c>
      <c r="Y277" s="12">
        <f t="shared" si="22"/>
        <v>4.1545189504373303E-2</v>
      </c>
      <c r="Z277">
        <v>148.69999999999999</v>
      </c>
      <c r="AA277">
        <v>155.6</v>
      </c>
      <c r="AB277" s="12">
        <f t="shared" si="23"/>
        <v>3.7333333333333295E-2</v>
      </c>
      <c r="AC277">
        <v>139.6</v>
      </c>
      <c r="AD277">
        <v>146.6</v>
      </c>
      <c r="AE277">
        <v>157.5</v>
      </c>
      <c r="AF277">
        <v>158.4</v>
      </c>
      <c r="AG277">
        <v>150</v>
      </c>
      <c r="AH277">
        <v>154.69999999999999</v>
      </c>
      <c r="AI277" s="11">
        <f t="shared" si="24"/>
        <v>4.5454545454544715E-3</v>
      </c>
    </row>
    <row r="278" spans="1:35" x14ac:dyDescent="0.25">
      <c r="A278" t="s">
        <v>30</v>
      </c>
      <c r="B278">
        <v>2021</v>
      </c>
      <c r="C278">
        <v>9</v>
      </c>
      <c r="D278" s="13">
        <f t="shared" si="20"/>
        <v>44440</v>
      </c>
      <c r="E278">
        <v>145.4</v>
      </c>
      <c r="F278">
        <v>202.1</v>
      </c>
      <c r="G278">
        <v>172</v>
      </c>
      <c r="H278">
        <v>158</v>
      </c>
      <c r="I278">
        <v>195.5</v>
      </c>
      <c r="J278">
        <v>152.69999999999999</v>
      </c>
      <c r="K278">
        <v>151.4</v>
      </c>
      <c r="L278">
        <v>163.9</v>
      </c>
      <c r="M278">
        <v>119.3</v>
      </c>
      <c r="N278">
        <v>170.1</v>
      </c>
      <c r="O278">
        <v>168.3</v>
      </c>
      <c r="P278">
        <v>172.8</v>
      </c>
      <c r="Q278">
        <v>162.1</v>
      </c>
      <c r="R278" s="12">
        <f t="shared" si="21"/>
        <v>2.594936708860756E-2</v>
      </c>
      <c r="S278">
        <v>190.5</v>
      </c>
      <c r="T278">
        <v>167.7</v>
      </c>
      <c r="U278">
        <v>163.6</v>
      </c>
      <c r="V278">
        <v>167.1</v>
      </c>
      <c r="W278" t="s">
        <v>31</v>
      </c>
      <c r="X278">
        <v>163.69999999999999</v>
      </c>
      <c r="Y278" s="12">
        <f t="shared" si="22"/>
        <v>0.14555633310006985</v>
      </c>
      <c r="Z278">
        <v>161.30000000000001</v>
      </c>
      <c r="AA278">
        <v>171.9</v>
      </c>
      <c r="AB278" s="12">
        <f t="shared" si="23"/>
        <v>0.10475578406169674</v>
      </c>
      <c r="AC278">
        <v>157.80000000000001</v>
      </c>
      <c r="AD278">
        <v>162.69999999999999</v>
      </c>
      <c r="AE278">
        <v>168.5</v>
      </c>
      <c r="AF278">
        <v>160.19999999999999</v>
      </c>
      <c r="AG278">
        <v>163.80000000000001</v>
      </c>
      <c r="AH278">
        <v>164</v>
      </c>
      <c r="AI278" s="11">
        <f t="shared" si="24"/>
        <v>6.0116354234001371E-2</v>
      </c>
    </row>
    <row r="279" spans="1:35" x14ac:dyDescent="0.25">
      <c r="A279" t="s">
        <v>32</v>
      </c>
      <c r="B279">
        <v>2021</v>
      </c>
      <c r="C279">
        <v>9</v>
      </c>
      <c r="D279" s="13">
        <f t="shared" si="20"/>
        <v>44440</v>
      </c>
      <c r="E279">
        <v>149.30000000000001</v>
      </c>
      <c r="F279">
        <v>207.4</v>
      </c>
      <c r="G279">
        <v>174.1</v>
      </c>
      <c r="H279">
        <v>159.1</v>
      </c>
      <c r="I279">
        <v>175</v>
      </c>
      <c r="J279">
        <v>161.19999999999999</v>
      </c>
      <c r="K279">
        <v>183.5</v>
      </c>
      <c r="L279">
        <v>164.5</v>
      </c>
      <c r="M279">
        <v>120.4</v>
      </c>
      <c r="N279">
        <v>166.2</v>
      </c>
      <c r="O279">
        <v>154.80000000000001</v>
      </c>
      <c r="P279">
        <v>175.1</v>
      </c>
      <c r="Q279">
        <v>167.3</v>
      </c>
      <c r="R279" s="12">
        <f t="shared" si="21"/>
        <v>3.2078963602714478E-2</v>
      </c>
      <c r="S279">
        <v>196.5</v>
      </c>
      <c r="T279">
        <v>159.80000000000001</v>
      </c>
      <c r="U279">
        <v>143.6</v>
      </c>
      <c r="V279">
        <v>157.4</v>
      </c>
      <c r="W279">
        <v>162.1</v>
      </c>
      <c r="X279">
        <v>160.80000000000001</v>
      </c>
      <c r="Y279" s="12">
        <f t="shared" si="22"/>
        <v>-1.7715332926084165E-2</v>
      </c>
      <c r="Z279">
        <v>153.30000000000001</v>
      </c>
      <c r="AA279">
        <v>162.80000000000001</v>
      </c>
      <c r="AB279" s="12">
        <f t="shared" si="23"/>
        <v>-5.2937754508435103E-2</v>
      </c>
      <c r="AC279">
        <v>150.5</v>
      </c>
      <c r="AD279">
        <v>153.9</v>
      </c>
      <c r="AE279">
        <v>160.30000000000001</v>
      </c>
      <c r="AF279">
        <v>159.6</v>
      </c>
      <c r="AG279">
        <v>156</v>
      </c>
      <c r="AH279">
        <v>162.30000000000001</v>
      </c>
      <c r="AI279" s="11">
        <f t="shared" si="24"/>
        <v>-1.0365853658536517E-2</v>
      </c>
    </row>
    <row r="280" spans="1:35" x14ac:dyDescent="0.25">
      <c r="A280" t="s">
        <v>33</v>
      </c>
      <c r="B280">
        <v>2021</v>
      </c>
      <c r="C280">
        <v>9</v>
      </c>
      <c r="D280" s="13">
        <f t="shared" si="20"/>
        <v>44440</v>
      </c>
      <c r="E280">
        <v>146.6</v>
      </c>
      <c r="F280">
        <v>204</v>
      </c>
      <c r="G280">
        <v>172.8</v>
      </c>
      <c r="H280">
        <v>158.4</v>
      </c>
      <c r="I280">
        <v>188</v>
      </c>
      <c r="J280">
        <v>156.69999999999999</v>
      </c>
      <c r="K280">
        <v>162.30000000000001</v>
      </c>
      <c r="L280">
        <v>164.1</v>
      </c>
      <c r="M280">
        <v>119.7</v>
      </c>
      <c r="N280">
        <v>168.8</v>
      </c>
      <c r="O280">
        <v>162.69999999999999</v>
      </c>
      <c r="P280">
        <v>173.9</v>
      </c>
      <c r="Q280">
        <v>164</v>
      </c>
      <c r="R280" s="12">
        <f t="shared" si="21"/>
        <v>-1.9725044829647407E-2</v>
      </c>
      <c r="S280">
        <v>192.1</v>
      </c>
      <c r="T280">
        <v>164.6</v>
      </c>
      <c r="U280">
        <v>155.30000000000001</v>
      </c>
      <c r="V280">
        <v>163.30000000000001</v>
      </c>
      <c r="W280">
        <v>162.1</v>
      </c>
      <c r="X280">
        <v>162.6</v>
      </c>
      <c r="Y280" s="12">
        <f t="shared" si="22"/>
        <v>1.1194029850746162E-2</v>
      </c>
      <c r="Z280">
        <v>157.5</v>
      </c>
      <c r="AA280">
        <v>168.4</v>
      </c>
      <c r="AB280" s="12">
        <f t="shared" si="23"/>
        <v>3.4398034398034363E-2</v>
      </c>
      <c r="AC280">
        <v>154</v>
      </c>
      <c r="AD280">
        <v>157.69999999999999</v>
      </c>
      <c r="AE280">
        <v>163.69999999999999</v>
      </c>
      <c r="AF280">
        <v>160</v>
      </c>
      <c r="AG280">
        <v>160</v>
      </c>
      <c r="AH280">
        <v>163.19999999999999</v>
      </c>
      <c r="AI280" s="11">
        <f t="shared" si="24"/>
        <v>5.5452865064693603E-3</v>
      </c>
    </row>
    <row r="281" spans="1:35" x14ac:dyDescent="0.25">
      <c r="A281" t="s">
        <v>30</v>
      </c>
      <c r="B281">
        <v>2022</v>
      </c>
      <c r="C281">
        <v>9</v>
      </c>
      <c r="D281" s="13">
        <f t="shared" si="20"/>
        <v>44805</v>
      </c>
      <c r="E281">
        <v>162.9</v>
      </c>
      <c r="F281">
        <v>206.7</v>
      </c>
      <c r="G281">
        <v>169</v>
      </c>
      <c r="H281">
        <v>169.5</v>
      </c>
      <c r="I281">
        <v>194.1</v>
      </c>
      <c r="J281">
        <v>164.1</v>
      </c>
      <c r="K281">
        <v>176.9</v>
      </c>
      <c r="L281">
        <v>169</v>
      </c>
      <c r="M281">
        <v>120.8</v>
      </c>
      <c r="N281">
        <v>199.1</v>
      </c>
      <c r="O281">
        <v>175.4</v>
      </c>
      <c r="P281">
        <v>184.8</v>
      </c>
      <c r="Q281">
        <v>175.5</v>
      </c>
      <c r="R281" s="12">
        <f t="shared" si="21"/>
        <v>7.0121951219512202E-2</v>
      </c>
      <c r="S281">
        <v>194.5</v>
      </c>
      <c r="T281">
        <v>184.7</v>
      </c>
      <c r="U281">
        <v>183.3</v>
      </c>
      <c r="V281">
        <v>184.5</v>
      </c>
      <c r="W281" t="s">
        <v>31</v>
      </c>
      <c r="X281">
        <v>179.7</v>
      </c>
      <c r="Y281" s="12">
        <f t="shared" si="22"/>
        <v>0.10516605166051657</v>
      </c>
      <c r="Z281">
        <v>173.6</v>
      </c>
      <c r="AA281">
        <v>180.2</v>
      </c>
      <c r="AB281" s="12">
        <f t="shared" si="23"/>
        <v>7.0071258907363321E-2</v>
      </c>
      <c r="AC281">
        <v>166.9</v>
      </c>
      <c r="AD281">
        <v>170</v>
      </c>
      <c r="AE281">
        <v>176.2</v>
      </c>
      <c r="AF281">
        <v>170.8</v>
      </c>
      <c r="AG281">
        <v>173.1</v>
      </c>
      <c r="AH281">
        <v>176.4</v>
      </c>
      <c r="AI281" s="11">
        <f t="shared" si="24"/>
        <v>8.0882352941176586E-2</v>
      </c>
    </row>
    <row r="282" spans="1:35" x14ac:dyDescent="0.25">
      <c r="A282" t="s">
        <v>32</v>
      </c>
      <c r="B282">
        <v>2022</v>
      </c>
      <c r="C282">
        <v>9</v>
      </c>
      <c r="D282" s="13">
        <f t="shared" si="20"/>
        <v>44805</v>
      </c>
      <c r="E282">
        <v>164.9</v>
      </c>
      <c r="F282">
        <v>213.7</v>
      </c>
      <c r="G282">
        <v>170.9</v>
      </c>
      <c r="H282">
        <v>170.1</v>
      </c>
      <c r="I282">
        <v>179.3</v>
      </c>
      <c r="J282">
        <v>167.5</v>
      </c>
      <c r="K282">
        <v>220.8</v>
      </c>
      <c r="L282">
        <v>169.2</v>
      </c>
      <c r="M282">
        <v>123.1</v>
      </c>
      <c r="N282">
        <v>193.6</v>
      </c>
      <c r="O282">
        <v>161.1</v>
      </c>
      <c r="P282">
        <v>190.4</v>
      </c>
      <c r="Q282">
        <v>181.8</v>
      </c>
      <c r="R282" s="12">
        <f t="shared" si="21"/>
        <v>3.5897435897435964E-2</v>
      </c>
      <c r="S282">
        <v>199.7</v>
      </c>
      <c r="T282">
        <v>175</v>
      </c>
      <c r="U282">
        <v>161.69999999999999</v>
      </c>
      <c r="V282">
        <v>173</v>
      </c>
      <c r="W282">
        <v>169.5</v>
      </c>
      <c r="X282">
        <v>179.2</v>
      </c>
      <c r="Y282" s="12">
        <f t="shared" si="22"/>
        <v>-2.782415136338342E-3</v>
      </c>
      <c r="Z282">
        <v>165</v>
      </c>
      <c r="AA282">
        <v>173.8</v>
      </c>
      <c r="AB282" s="12">
        <f t="shared" si="23"/>
        <v>-3.5516093229744604E-2</v>
      </c>
      <c r="AC282">
        <v>158.19999999999999</v>
      </c>
      <c r="AD282">
        <v>165.8</v>
      </c>
      <c r="AE282">
        <v>170.9</v>
      </c>
      <c r="AF282">
        <v>171.1</v>
      </c>
      <c r="AG282">
        <v>166.1</v>
      </c>
      <c r="AH282">
        <v>174.1</v>
      </c>
      <c r="AI282" s="11">
        <f t="shared" si="24"/>
        <v>-1.3038548752834531E-2</v>
      </c>
    </row>
    <row r="283" spans="1:35" x14ac:dyDescent="0.25">
      <c r="A283" t="s">
        <v>33</v>
      </c>
      <c r="B283">
        <v>2022</v>
      </c>
      <c r="C283">
        <v>9</v>
      </c>
      <c r="D283" s="13">
        <f t="shared" si="20"/>
        <v>44805</v>
      </c>
      <c r="E283">
        <v>163.5</v>
      </c>
      <c r="F283">
        <v>209.2</v>
      </c>
      <c r="G283">
        <v>169.7</v>
      </c>
      <c r="H283">
        <v>169.7</v>
      </c>
      <c r="I283">
        <v>188.7</v>
      </c>
      <c r="J283">
        <v>165.7</v>
      </c>
      <c r="K283">
        <v>191.8</v>
      </c>
      <c r="L283">
        <v>169.1</v>
      </c>
      <c r="M283">
        <v>121.6</v>
      </c>
      <c r="N283">
        <v>197.3</v>
      </c>
      <c r="O283">
        <v>169.4</v>
      </c>
      <c r="P283">
        <v>187.4</v>
      </c>
      <c r="Q283">
        <v>177.8</v>
      </c>
      <c r="R283" s="12">
        <f t="shared" si="21"/>
        <v>-2.2002200220022E-2</v>
      </c>
      <c r="S283">
        <v>195.9</v>
      </c>
      <c r="T283">
        <v>180.9</v>
      </c>
      <c r="U283">
        <v>174.3</v>
      </c>
      <c r="V283">
        <v>179.9</v>
      </c>
      <c r="W283">
        <v>169.5</v>
      </c>
      <c r="X283">
        <v>179.5</v>
      </c>
      <c r="Y283" s="12">
        <f t="shared" si="22"/>
        <v>1.6741071428572063E-3</v>
      </c>
      <c r="Z283">
        <v>169.5</v>
      </c>
      <c r="AA283">
        <v>177.8</v>
      </c>
      <c r="AB283" s="12">
        <f t="shared" si="23"/>
        <v>2.3014959723820481E-2</v>
      </c>
      <c r="AC283">
        <v>162.30000000000001</v>
      </c>
      <c r="AD283">
        <v>167.6</v>
      </c>
      <c r="AE283">
        <v>173.1</v>
      </c>
      <c r="AF283">
        <v>170.9</v>
      </c>
      <c r="AG283">
        <v>169.7</v>
      </c>
      <c r="AH283">
        <v>175.3</v>
      </c>
      <c r="AI283" s="11">
        <f t="shared" si="24"/>
        <v>6.8925904652499545E-3</v>
      </c>
    </row>
    <row r="284" spans="1:35" x14ac:dyDescent="0.25">
      <c r="A284" t="s">
        <v>30</v>
      </c>
      <c r="B284">
        <v>2013</v>
      </c>
      <c r="C284">
        <v>10</v>
      </c>
      <c r="D284" s="13">
        <f t="shared" si="20"/>
        <v>41548</v>
      </c>
      <c r="E284">
        <v>116.3</v>
      </c>
      <c r="F284">
        <v>115.4</v>
      </c>
      <c r="G284">
        <v>112.6</v>
      </c>
      <c r="H284">
        <v>111.7</v>
      </c>
      <c r="I284">
        <v>107.7</v>
      </c>
      <c r="J284">
        <v>113.2</v>
      </c>
      <c r="K284">
        <v>164.9</v>
      </c>
      <c r="L284">
        <v>108.3</v>
      </c>
      <c r="M284">
        <v>103.9</v>
      </c>
      <c r="N284">
        <v>108.2</v>
      </c>
      <c r="O284">
        <v>111.1</v>
      </c>
      <c r="P284">
        <v>114.9</v>
      </c>
      <c r="Q284">
        <v>119.8</v>
      </c>
      <c r="R284" s="12">
        <f t="shared" si="21"/>
        <v>-0.32620922384701917</v>
      </c>
      <c r="S284">
        <v>112.2</v>
      </c>
      <c r="T284">
        <v>113.6</v>
      </c>
      <c r="U284">
        <v>112.3</v>
      </c>
      <c r="V284">
        <v>113.4</v>
      </c>
      <c r="W284" t="s">
        <v>31</v>
      </c>
      <c r="X284">
        <v>111.6</v>
      </c>
      <c r="Y284" s="12">
        <f t="shared" si="22"/>
        <v>-0.3782729805013928</v>
      </c>
      <c r="Z284">
        <v>110.4</v>
      </c>
      <c r="AA284">
        <v>108.9</v>
      </c>
      <c r="AB284" s="12">
        <f t="shared" si="23"/>
        <v>-0.38751406074240718</v>
      </c>
      <c r="AC284">
        <v>109.3</v>
      </c>
      <c r="AD284">
        <v>108.3</v>
      </c>
      <c r="AE284">
        <v>110.2</v>
      </c>
      <c r="AF284">
        <v>107.5</v>
      </c>
      <c r="AG284">
        <v>109.1</v>
      </c>
      <c r="AH284">
        <v>115.5</v>
      </c>
      <c r="AI284" s="11">
        <f t="shared" si="24"/>
        <v>-0.3411294922989162</v>
      </c>
    </row>
    <row r="285" spans="1:35" x14ac:dyDescent="0.25">
      <c r="A285" t="s">
        <v>32</v>
      </c>
      <c r="B285">
        <v>2013</v>
      </c>
      <c r="C285">
        <v>10</v>
      </c>
      <c r="D285" s="13">
        <f t="shared" si="20"/>
        <v>41548</v>
      </c>
      <c r="E285">
        <v>118.9</v>
      </c>
      <c r="F285">
        <v>118.1</v>
      </c>
      <c r="G285">
        <v>114.5</v>
      </c>
      <c r="H285">
        <v>110.4</v>
      </c>
      <c r="I285">
        <v>102.3</v>
      </c>
      <c r="J285">
        <v>106.2</v>
      </c>
      <c r="K285">
        <v>183.5</v>
      </c>
      <c r="L285">
        <v>105.3</v>
      </c>
      <c r="M285">
        <v>100.2</v>
      </c>
      <c r="N285">
        <v>109.6</v>
      </c>
      <c r="O285">
        <v>111.4</v>
      </c>
      <c r="P285">
        <v>116</v>
      </c>
      <c r="Q285">
        <v>120.8</v>
      </c>
      <c r="R285" s="12">
        <f t="shared" si="21"/>
        <v>8.3472454090150246E-3</v>
      </c>
      <c r="S285">
        <v>113.5</v>
      </c>
      <c r="T285">
        <v>112.5</v>
      </c>
      <c r="U285">
        <v>109.7</v>
      </c>
      <c r="V285">
        <v>112</v>
      </c>
      <c r="W285">
        <v>110.5</v>
      </c>
      <c r="X285">
        <v>109.7</v>
      </c>
      <c r="Y285" s="12">
        <f t="shared" si="22"/>
        <v>-1.7025089605734692E-2</v>
      </c>
      <c r="Z285">
        <v>110.2</v>
      </c>
      <c r="AA285">
        <v>108.2</v>
      </c>
      <c r="AB285" s="12">
        <f t="shared" si="23"/>
        <v>-6.4279155188246354E-3</v>
      </c>
      <c r="AC285">
        <v>109.7</v>
      </c>
      <c r="AD285">
        <v>108</v>
      </c>
      <c r="AE285">
        <v>111.3</v>
      </c>
      <c r="AF285">
        <v>107.3</v>
      </c>
      <c r="AG285">
        <v>109.4</v>
      </c>
      <c r="AH285">
        <v>114</v>
      </c>
      <c r="AI285" s="11">
        <f t="shared" si="24"/>
        <v>-1.2987012987012988E-2</v>
      </c>
    </row>
    <row r="286" spans="1:35" x14ac:dyDescent="0.25">
      <c r="A286" t="s">
        <v>33</v>
      </c>
      <c r="B286">
        <v>2013</v>
      </c>
      <c r="C286">
        <v>10</v>
      </c>
      <c r="D286" s="13">
        <f t="shared" si="20"/>
        <v>41548</v>
      </c>
      <c r="E286">
        <v>117.1</v>
      </c>
      <c r="F286">
        <v>116.3</v>
      </c>
      <c r="G286">
        <v>113.3</v>
      </c>
      <c r="H286">
        <v>111.2</v>
      </c>
      <c r="I286">
        <v>105.7</v>
      </c>
      <c r="J286">
        <v>109.9</v>
      </c>
      <c r="K286">
        <v>171.2</v>
      </c>
      <c r="L286">
        <v>107.3</v>
      </c>
      <c r="M286">
        <v>102.7</v>
      </c>
      <c r="N286">
        <v>108.7</v>
      </c>
      <c r="O286">
        <v>111.2</v>
      </c>
      <c r="P286">
        <v>115.4</v>
      </c>
      <c r="Q286">
        <v>120.2</v>
      </c>
      <c r="R286" s="12">
        <f t="shared" si="21"/>
        <v>-4.9668874172184964E-3</v>
      </c>
      <c r="S286">
        <v>112.5</v>
      </c>
      <c r="T286">
        <v>113.2</v>
      </c>
      <c r="U286">
        <v>111.2</v>
      </c>
      <c r="V286">
        <v>112.8</v>
      </c>
      <c r="W286">
        <v>110.5</v>
      </c>
      <c r="X286">
        <v>110.9</v>
      </c>
      <c r="Y286" s="12">
        <f t="shared" si="22"/>
        <v>1.0938924339106679E-2</v>
      </c>
      <c r="Z286">
        <v>110.3</v>
      </c>
      <c r="AA286">
        <v>108.6</v>
      </c>
      <c r="AB286" s="12">
        <f t="shared" si="23"/>
        <v>3.6968576709795883E-3</v>
      </c>
      <c r="AC286">
        <v>109.5</v>
      </c>
      <c r="AD286">
        <v>108.1</v>
      </c>
      <c r="AE286">
        <v>110.8</v>
      </c>
      <c r="AF286">
        <v>107.4</v>
      </c>
      <c r="AG286">
        <v>109.2</v>
      </c>
      <c r="AH286">
        <v>114.8</v>
      </c>
      <c r="AI286" s="11">
        <f t="shared" si="24"/>
        <v>7.0175438596490978E-3</v>
      </c>
    </row>
    <row r="287" spans="1:35" x14ac:dyDescent="0.25">
      <c r="A287" t="s">
        <v>30</v>
      </c>
      <c r="B287">
        <v>2014</v>
      </c>
      <c r="C287">
        <v>10</v>
      </c>
      <c r="D287" s="13">
        <f t="shared" si="20"/>
        <v>41913</v>
      </c>
      <c r="E287">
        <v>122.6</v>
      </c>
      <c r="F287">
        <v>122.5</v>
      </c>
      <c r="G287">
        <v>118.3</v>
      </c>
      <c r="H287">
        <v>123.2</v>
      </c>
      <c r="I287">
        <v>110.5</v>
      </c>
      <c r="J287">
        <v>128.9</v>
      </c>
      <c r="K287">
        <v>155.30000000000001</v>
      </c>
      <c r="L287">
        <v>115.5</v>
      </c>
      <c r="M287">
        <v>104</v>
      </c>
      <c r="N287">
        <v>115.3</v>
      </c>
      <c r="O287">
        <v>116.8</v>
      </c>
      <c r="P287">
        <v>123.2</v>
      </c>
      <c r="Q287">
        <v>125.1</v>
      </c>
      <c r="R287" s="12">
        <f t="shared" si="21"/>
        <v>4.0765391014974971E-2</v>
      </c>
      <c r="S287">
        <v>120</v>
      </c>
      <c r="T287">
        <v>122.7</v>
      </c>
      <c r="U287">
        <v>120.3</v>
      </c>
      <c r="V287">
        <v>122.3</v>
      </c>
      <c r="W287" t="s">
        <v>31</v>
      </c>
      <c r="X287">
        <v>116.4</v>
      </c>
      <c r="Y287" s="12">
        <f t="shared" si="22"/>
        <v>4.9594229035166817E-2</v>
      </c>
      <c r="Z287">
        <v>117.5</v>
      </c>
      <c r="AA287">
        <v>115.3</v>
      </c>
      <c r="AB287" s="12">
        <f t="shared" si="23"/>
        <v>6.1694290976058962E-2</v>
      </c>
      <c r="AC287">
        <v>112.6</v>
      </c>
      <c r="AD287">
        <v>113</v>
      </c>
      <c r="AE287">
        <v>116.9</v>
      </c>
      <c r="AF287">
        <v>109.3</v>
      </c>
      <c r="AG287">
        <v>114</v>
      </c>
      <c r="AH287">
        <v>121</v>
      </c>
      <c r="AI287" s="11">
        <f t="shared" si="24"/>
        <v>5.4006968641115011E-2</v>
      </c>
    </row>
    <row r="288" spans="1:35" x14ac:dyDescent="0.25">
      <c r="A288" t="s">
        <v>32</v>
      </c>
      <c r="B288">
        <v>2014</v>
      </c>
      <c r="C288">
        <v>10</v>
      </c>
      <c r="D288" s="13">
        <f t="shared" si="20"/>
        <v>41913</v>
      </c>
      <c r="E288">
        <v>124.6</v>
      </c>
      <c r="F288">
        <v>126.1</v>
      </c>
      <c r="G288">
        <v>117.8</v>
      </c>
      <c r="H288">
        <v>123.1</v>
      </c>
      <c r="I288">
        <v>103.5</v>
      </c>
      <c r="J288">
        <v>123.5</v>
      </c>
      <c r="K288">
        <v>159.6</v>
      </c>
      <c r="L288">
        <v>117.4</v>
      </c>
      <c r="M288">
        <v>101.2</v>
      </c>
      <c r="N288">
        <v>123.8</v>
      </c>
      <c r="O288">
        <v>115.2</v>
      </c>
      <c r="P288">
        <v>125.9</v>
      </c>
      <c r="Q288">
        <v>125.8</v>
      </c>
      <c r="R288" s="12">
        <f t="shared" si="21"/>
        <v>5.5955235811351147E-3</v>
      </c>
      <c r="S288">
        <v>124.3</v>
      </c>
      <c r="T288">
        <v>119.6</v>
      </c>
      <c r="U288">
        <v>114.9</v>
      </c>
      <c r="V288">
        <v>118.9</v>
      </c>
      <c r="W288">
        <v>116.7</v>
      </c>
      <c r="X288">
        <v>112</v>
      </c>
      <c r="Y288" s="12">
        <f t="shared" si="22"/>
        <v>-3.7800687285223414E-2</v>
      </c>
      <c r="Z288">
        <v>115.8</v>
      </c>
      <c r="AA288">
        <v>112.6</v>
      </c>
      <c r="AB288" s="12">
        <f t="shared" si="23"/>
        <v>-2.3417172593235065E-2</v>
      </c>
      <c r="AC288">
        <v>111</v>
      </c>
      <c r="AD288">
        <v>113.6</v>
      </c>
      <c r="AE288">
        <v>120.2</v>
      </c>
      <c r="AF288">
        <v>110.1</v>
      </c>
      <c r="AG288">
        <v>113.7</v>
      </c>
      <c r="AH288">
        <v>119.1</v>
      </c>
      <c r="AI288" s="11">
        <f t="shared" si="24"/>
        <v>-1.5702479338843021E-2</v>
      </c>
    </row>
    <row r="289" spans="1:35" x14ac:dyDescent="0.25">
      <c r="A289" t="s">
        <v>33</v>
      </c>
      <c r="B289">
        <v>2014</v>
      </c>
      <c r="C289">
        <v>10</v>
      </c>
      <c r="D289" s="13">
        <f t="shared" si="20"/>
        <v>41913</v>
      </c>
      <c r="E289">
        <v>123.2</v>
      </c>
      <c r="F289">
        <v>123.8</v>
      </c>
      <c r="G289">
        <v>118.1</v>
      </c>
      <c r="H289">
        <v>123.2</v>
      </c>
      <c r="I289">
        <v>107.9</v>
      </c>
      <c r="J289">
        <v>126.4</v>
      </c>
      <c r="K289">
        <v>156.80000000000001</v>
      </c>
      <c r="L289">
        <v>116.1</v>
      </c>
      <c r="M289">
        <v>103.1</v>
      </c>
      <c r="N289">
        <v>118.1</v>
      </c>
      <c r="O289">
        <v>116.1</v>
      </c>
      <c r="P289">
        <v>124.5</v>
      </c>
      <c r="Q289">
        <v>125.4</v>
      </c>
      <c r="R289" s="12">
        <f t="shared" si="21"/>
        <v>-3.1796502384737E-3</v>
      </c>
      <c r="S289">
        <v>121.1</v>
      </c>
      <c r="T289">
        <v>121.5</v>
      </c>
      <c r="U289">
        <v>118.1</v>
      </c>
      <c r="V289">
        <v>121</v>
      </c>
      <c r="W289">
        <v>116.7</v>
      </c>
      <c r="X289">
        <v>114.7</v>
      </c>
      <c r="Y289" s="12">
        <f t="shared" si="22"/>
        <v>2.4107142857142883E-2</v>
      </c>
      <c r="Z289">
        <v>116.7</v>
      </c>
      <c r="AA289">
        <v>114.3</v>
      </c>
      <c r="AB289" s="12">
        <f t="shared" si="23"/>
        <v>1.5097690941385461E-2</v>
      </c>
      <c r="AC289">
        <v>111.8</v>
      </c>
      <c r="AD289">
        <v>113.3</v>
      </c>
      <c r="AE289">
        <v>118.8</v>
      </c>
      <c r="AF289">
        <v>109.6</v>
      </c>
      <c r="AG289">
        <v>113.9</v>
      </c>
      <c r="AH289">
        <v>120.1</v>
      </c>
      <c r="AI289" s="11">
        <f t="shared" si="24"/>
        <v>8.3963056255247689E-3</v>
      </c>
    </row>
    <row r="290" spans="1:35" x14ac:dyDescent="0.25">
      <c r="A290" t="s">
        <v>30</v>
      </c>
      <c r="B290">
        <v>2015</v>
      </c>
      <c r="C290">
        <v>10</v>
      </c>
      <c r="D290" s="13">
        <f t="shared" si="20"/>
        <v>42278</v>
      </c>
      <c r="E290">
        <v>125.6</v>
      </c>
      <c r="F290">
        <v>130.4</v>
      </c>
      <c r="G290">
        <v>120.8</v>
      </c>
      <c r="H290">
        <v>129.4</v>
      </c>
      <c r="I290">
        <v>115.8</v>
      </c>
      <c r="J290">
        <v>133.19999999999999</v>
      </c>
      <c r="K290">
        <v>157.69999999999999</v>
      </c>
      <c r="L290">
        <v>154.19999999999999</v>
      </c>
      <c r="M290">
        <v>93.7</v>
      </c>
      <c r="N290">
        <v>126.6</v>
      </c>
      <c r="O290">
        <v>122.3</v>
      </c>
      <c r="P290">
        <v>133.1</v>
      </c>
      <c r="Q290">
        <v>131.80000000000001</v>
      </c>
      <c r="R290" s="12">
        <f t="shared" si="21"/>
        <v>5.1036682615630026E-2</v>
      </c>
      <c r="S290">
        <v>131.5</v>
      </c>
      <c r="T290">
        <v>131.1</v>
      </c>
      <c r="U290">
        <v>127.3</v>
      </c>
      <c r="V290">
        <v>130.6</v>
      </c>
      <c r="W290" t="s">
        <v>31</v>
      </c>
      <c r="X290">
        <v>124.4</v>
      </c>
      <c r="Y290" s="12">
        <f t="shared" si="22"/>
        <v>8.4568439407149101E-2</v>
      </c>
      <c r="Z290">
        <v>125.1</v>
      </c>
      <c r="AA290">
        <v>122</v>
      </c>
      <c r="AB290" s="12">
        <f t="shared" si="23"/>
        <v>6.7366579177602831E-2</v>
      </c>
      <c r="AC290">
        <v>113.8</v>
      </c>
      <c r="AD290">
        <v>120.1</v>
      </c>
      <c r="AE290">
        <v>125.1</v>
      </c>
      <c r="AF290">
        <v>114.2</v>
      </c>
      <c r="AG290">
        <v>119.2</v>
      </c>
      <c r="AH290">
        <v>127.7</v>
      </c>
      <c r="AI290" s="11">
        <f t="shared" si="24"/>
        <v>6.3280599500416396E-2</v>
      </c>
    </row>
    <row r="291" spans="1:35" x14ac:dyDescent="0.25">
      <c r="A291" t="s">
        <v>32</v>
      </c>
      <c r="B291">
        <v>2015</v>
      </c>
      <c r="C291">
        <v>10</v>
      </c>
      <c r="D291" s="13">
        <f t="shared" si="20"/>
        <v>42278</v>
      </c>
      <c r="E291">
        <v>123.6</v>
      </c>
      <c r="F291">
        <v>128.6</v>
      </c>
      <c r="G291">
        <v>115.9</v>
      </c>
      <c r="H291">
        <v>128.5</v>
      </c>
      <c r="I291">
        <v>109</v>
      </c>
      <c r="J291">
        <v>124.1</v>
      </c>
      <c r="K291">
        <v>165.8</v>
      </c>
      <c r="L291">
        <v>187.2</v>
      </c>
      <c r="M291">
        <v>89.4</v>
      </c>
      <c r="N291">
        <v>135.80000000000001</v>
      </c>
      <c r="O291">
        <v>119.4</v>
      </c>
      <c r="P291">
        <v>132.9</v>
      </c>
      <c r="Q291">
        <v>132.6</v>
      </c>
      <c r="R291" s="12">
        <f t="shared" si="21"/>
        <v>6.0698027314110992E-3</v>
      </c>
      <c r="S291">
        <v>135.30000000000001</v>
      </c>
      <c r="T291">
        <v>124.4</v>
      </c>
      <c r="U291">
        <v>118.8</v>
      </c>
      <c r="V291">
        <v>123.6</v>
      </c>
      <c r="W291">
        <v>122.4</v>
      </c>
      <c r="X291">
        <v>114.9</v>
      </c>
      <c r="Y291" s="12">
        <f t="shared" si="22"/>
        <v>-7.6366559485530547E-2</v>
      </c>
      <c r="Z291">
        <v>120.7</v>
      </c>
      <c r="AA291">
        <v>117.7</v>
      </c>
      <c r="AB291" s="12">
        <f t="shared" si="23"/>
        <v>-3.524590163934424E-2</v>
      </c>
      <c r="AC291">
        <v>109.3</v>
      </c>
      <c r="AD291">
        <v>117.7</v>
      </c>
      <c r="AE291">
        <v>126.5</v>
      </c>
      <c r="AF291">
        <v>113.5</v>
      </c>
      <c r="AG291">
        <v>116.5</v>
      </c>
      <c r="AH291">
        <v>124.2</v>
      </c>
      <c r="AI291" s="11">
        <f t="shared" si="24"/>
        <v>-2.7407987470634297E-2</v>
      </c>
    </row>
    <row r="292" spans="1:35" x14ac:dyDescent="0.25">
      <c r="A292" t="s">
        <v>33</v>
      </c>
      <c r="B292">
        <v>2015</v>
      </c>
      <c r="C292">
        <v>10</v>
      </c>
      <c r="D292" s="13">
        <f t="shared" si="20"/>
        <v>42278</v>
      </c>
      <c r="E292">
        <v>125</v>
      </c>
      <c r="F292">
        <v>129.80000000000001</v>
      </c>
      <c r="G292">
        <v>118.9</v>
      </c>
      <c r="H292">
        <v>129.1</v>
      </c>
      <c r="I292">
        <v>113.3</v>
      </c>
      <c r="J292">
        <v>129</v>
      </c>
      <c r="K292">
        <v>160.4</v>
      </c>
      <c r="L292">
        <v>165.3</v>
      </c>
      <c r="M292">
        <v>92.3</v>
      </c>
      <c r="N292">
        <v>129.69999999999999</v>
      </c>
      <c r="O292">
        <v>121.1</v>
      </c>
      <c r="P292">
        <v>133</v>
      </c>
      <c r="Q292">
        <v>132.1</v>
      </c>
      <c r="R292" s="12">
        <f t="shared" si="21"/>
        <v>-3.770739064856712E-3</v>
      </c>
      <c r="S292">
        <v>132.5</v>
      </c>
      <c r="T292">
        <v>128.5</v>
      </c>
      <c r="U292">
        <v>123.8</v>
      </c>
      <c r="V292">
        <v>127.8</v>
      </c>
      <c r="W292">
        <v>122.4</v>
      </c>
      <c r="X292">
        <v>120.8</v>
      </c>
      <c r="Y292" s="12">
        <f t="shared" si="22"/>
        <v>5.1348999129677907E-2</v>
      </c>
      <c r="Z292">
        <v>123</v>
      </c>
      <c r="AA292">
        <v>120.4</v>
      </c>
      <c r="AB292" s="12">
        <f t="shared" si="23"/>
        <v>2.2939677145284644E-2</v>
      </c>
      <c r="AC292">
        <v>111.4</v>
      </c>
      <c r="AD292">
        <v>118.7</v>
      </c>
      <c r="AE292">
        <v>125.9</v>
      </c>
      <c r="AF292">
        <v>113.9</v>
      </c>
      <c r="AG292">
        <v>117.9</v>
      </c>
      <c r="AH292">
        <v>126.1</v>
      </c>
      <c r="AI292" s="11">
        <f t="shared" si="24"/>
        <v>1.5297906602254359E-2</v>
      </c>
    </row>
    <row r="293" spans="1:35" x14ac:dyDescent="0.25">
      <c r="A293" t="s">
        <v>30</v>
      </c>
      <c r="B293">
        <v>2016</v>
      </c>
      <c r="C293">
        <v>10</v>
      </c>
      <c r="D293" s="13">
        <f t="shared" si="20"/>
        <v>42644</v>
      </c>
      <c r="E293">
        <v>131.30000000000001</v>
      </c>
      <c r="F293">
        <v>137.6</v>
      </c>
      <c r="G293">
        <v>130.1</v>
      </c>
      <c r="H293">
        <v>136</v>
      </c>
      <c r="I293">
        <v>120.8</v>
      </c>
      <c r="J293">
        <v>138.4</v>
      </c>
      <c r="K293">
        <v>149.19999999999999</v>
      </c>
      <c r="L293">
        <v>170.2</v>
      </c>
      <c r="M293">
        <v>113.4</v>
      </c>
      <c r="N293">
        <v>136.30000000000001</v>
      </c>
      <c r="O293">
        <v>128.69999999999999</v>
      </c>
      <c r="P293">
        <v>142.4</v>
      </c>
      <c r="Q293">
        <v>137.4</v>
      </c>
      <c r="R293" s="12">
        <f t="shared" si="21"/>
        <v>4.0121120363361178E-2</v>
      </c>
      <c r="S293">
        <v>140.9</v>
      </c>
      <c r="T293">
        <v>139.6</v>
      </c>
      <c r="U293">
        <v>134.30000000000001</v>
      </c>
      <c r="V293">
        <v>138.80000000000001</v>
      </c>
      <c r="W293" t="s">
        <v>31</v>
      </c>
      <c r="X293">
        <v>129.80000000000001</v>
      </c>
      <c r="Y293" s="12">
        <f t="shared" si="22"/>
        <v>7.4503311258278263E-2</v>
      </c>
      <c r="Z293">
        <v>131.80000000000001</v>
      </c>
      <c r="AA293">
        <v>128.69999999999999</v>
      </c>
      <c r="AB293" s="12">
        <f t="shared" si="23"/>
        <v>6.8936877076411815E-2</v>
      </c>
      <c r="AC293">
        <v>117.8</v>
      </c>
      <c r="AD293">
        <v>126.5</v>
      </c>
      <c r="AE293">
        <v>133</v>
      </c>
      <c r="AF293">
        <v>123</v>
      </c>
      <c r="AG293">
        <v>125.7</v>
      </c>
      <c r="AH293">
        <v>133.80000000000001</v>
      </c>
      <c r="AI293" s="11">
        <f t="shared" si="24"/>
        <v>6.1062648691514808E-2</v>
      </c>
    </row>
    <row r="294" spans="1:35" x14ac:dyDescent="0.25">
      <c r="A294" t="s">
        <v>32</v>
      </c>
      <c r="B294">
        <v>2016</v>
      </c>
      <c r="C294">
        <v>10</v>
      </c>
      <c r="D294" s="13">
        <f t="shared" si="20"/>
        <v>42644</v>
      </c>
      <c r="E294">
        <v>128.69999999999999</v>
      </c>
      <c r="F294">
        <v>138.4</v>
      </c>
      <c r="G294">
        <v>130.30000000000001</v>
      </c>
      <c r="H294">
        <v>132.69999999999999</v>
      </c>
      <c r="I294">
        <v>112.5</v>
      </c>
      <c r="J294">
        <v>130.4</v>
      </c>
      <c r="K294">
        <v>155.1</v>
      </c>
      <c r="L294">
        <v>175.7</v>
      </c>
      <c r="M294">
        <v>115.4</v>
      </c>
      <c r="N294">
        <v>145.30000000000001</v>
      </c>
      <c r="O294">
        <v>122.5</v>
      </c>
      <c r="P294">
        <v>139.6</v>
      </c>
      <c r="Q294">
        <v>136.30000000000001</v>
      </c>
      <c r="R294" s="12">
        <f t="shared" si="21"/>
        <v>-8.0058224163027242E-3</v>
      </c>
      <c r="S294">
        <v>144.30000000000001</v>
      </c>
      <c r="T294">
        <v>129.1</v>
      </c>
      <c r="U294">
        <v>121.9</v>
      </c>
      <c r="V294">
        <v>128</v>
      </c>
      <c r="W294">
        <v>128.69999999999999</v>
      </c>
      <c r="X294">
        <v>115.2</v>
      </c>
      <c r="Y294" s="12">
        <f t="shared" si="22"/>
        <v>-0.11248073959938372</v>
      </c>
      <c r="Z294">
        <v>124.5</v>
      </c>
      <c r="AA294">
        <v>121.8</v>
      </c>
      <c r="AB294" s="12">
        <f t="shared" si="23"/>
        <v>-5.3613053613053553E-2</v>
      </c>
      <c r="AC294">
        <v>112.8</v>
      </c>
      <c r="AD294">
        <v>121.2</v>
      </c>
      <c r="AE294">
        <v>131.9</v>
      </c>
      <c r="AF294">
        <v>120.8</v>
      </c>
      <c r="AG294">
        <v>120.9</v>
      </c>
      <c r="AH294">
        <v>128.6</v>
      </c>
      <c r="AI294" s="11">
        <f t="shared" si="24"/>
        <v>-3.8863976083707147E-2</v>
      </c>
    </row>
    <row r="295" spans="1:35" x14ac:dyDescent="0.25">
      <c r="A295" t="s">
        <v>33</v>
      </c>
      <c r="B295">
        <v>2016</v>
      </c>
      <c r="C295">
        <v>10</v>
      </c>
      <c r="D295" s="13">
        <f t="shared" si="20"/>
        <v>42644</v>
      </c>
      <c r="E295">
        <v>130.5</v>
      </c>
      <c r="F295">
        <v>137.9</v>
      </c>
      <c r="G295">
        <v>130.19999999999999</v>
      </c>
      <c r="H295">
        <v>134.80000000000001</v>
      </c>
      <c r="I295">
        <v>117.8</v>
      </c>
      <c r="J295">
        <v>134.69999999999999</v>
      </c>
      <c r="K295">
        <v>151.19999999999999</v>
      </c>
      <c r="L295">
        <v>172.1</v>
      </c>
      <c r="M295">
        <v>114.1</v>
      </c>
      <c r="N295">
        <v>139.30000000000001</v>
      </c>
      <c r="O295">
        <v>126.1</v>
      </c>
      <c r="P295">
        <v>141.1</v>
      </c>
      <c r="Q295">
        <v>137</v>
      </c>
      <c r="R295" s="12">
        <f t="shared" si="21"/>
        <v>5.1357300073366736E-3</v>
      </c>
      <c r="S295">
        <v>141.80000000000001</v>
      </c>
      <c r="T295">
        <v>135.5</v>
      </c>
      <c r="U295">
        <v>129.1</v>
      </c>
      <c r="V295">
        <v>134.5</v>
      </c>
      <c r="W295">
        <v>128.69999999999999</v>
      </c>
      <c r="X295">
        <v>124.3</v>
      </c>
      <c r="Y295" s="12">
        <f t="shared" si="22"/>
        <v>7.8993055555555511E-2</v>
      </c>
      <c r="Z295">
        <v>128.4</v>
      </c>
      <c r="AA295">
        <v>126.1</v>
      </c>
      <c r="AB295" s="12">
        <f t="shared" si="23"/>
        <v>3.5303776683087006E-2</v>
      </c>
      <c r="AC295">
        <v>115.2</v>
      </c>
      <c r="AD295">
        <v>123.5</v>
      </c>
      <c r="AE295">
        <v>132.4</v>
      </c>
      <c r="AF295">
        <v>122.1</v>
      </c>
      <c r="AG295">
        <v>123.4</v>
      </c>
      <c r="AH295">
        <v>131.4</v>
      </c>
      <c r="AI295" s="11">
        <f t="shared" si="24"/>
        <v>2.1772939346811911E-2</v>
      </c>
    </row>
    <row r="296" spans="1:35" x14ac:dyDescent="0.25">
      <c r="A296" t="s">
        <v>30</v>
      </c>
      <c r="B296">
        <v>2017</v>
      </c>
      <c r="C296">
        <v>10</v>
      </c>
      <c r="D296" s="13">
        <f t="shared" si="20"/>
        <v>43009</v>
      </c>
      <c r="E296">
        <v>135.9</v>
      </c>
      <c r="F296">
        <v>141.9</v>
      </c>
      <c r="G296">
        <v>131</v>
      </c>
      <c r="H296">
        <v>141.5</v>
      </c>
      <c r="I296">
        <v>121.4</v>
      </c>
      <c r="J296">
        <v>146.69999999999999</v>
      </c>
      <c r="K296">
        <v>157.1</v>
      </c>
      <c r="L296">
        <v>136.4</v>
      </c>
      <c r="M296">
        <v>121.4</v>
      </c>
      <c r="N296">
        <v>135.6</v>
      </c>
      <c r="O296">
        <v>131.30000000000001</v>
      </c>
      <c r="P296">
        <v>150.30000000000001</v>
      </c>
      <c r="Q296">
        <v>140.4</v>
      </c>
      <c r="R296" s="12">
        <f t="shared" si="21"/>
        <v>2.4817518248175224E-2</v>
      </c>
      <c r="S296">
        <v>150.5</v>
      </c>
      <c r="T296">
        <v>147.19999999999999</v>
      </c>
      <c r="U296">
        <v>140.6</v>
      </c>
      <c r="V296">
        <v>146.19999999999999</v>
      </c>
      <c r="W296" t="s">
        <v>31</v>
      </c>
      <c r="X296">
        <v>138.1</v>
      </c>
      <c r="Y296" s="12">
        <f t="shared" si="22"/>
        <v>0.11102172164119065</v>
      </c>
      <c r="Z296">
        <v>138.4</v>
      </c>
      <c r="AA296">
        <v>134.19999999999999</v>
      </c>
      <c r="AB296" s="12">
        <f t="shared" si="23"/>
        <v>6.4234734337827074E-2</v>
      </c>
      <c r="AC296">
        <v>121</v>
      </c>
      <c r="AD296">
        <v>133</v>
      </c>
      <c r="AE296">
        <v>140.1</v>
      </c>
      <c r="AF296">
        <v>127.4</v>
      </c>
      <c r="AG296">
        <v>130.69999999999999</v>
      </c>
      <c r="AH296">
        <v>138.30000000000001</v>
      </c>
      <c r="AI296" s="11">
        <f t="shared" si="24"/>
        <v>5.2511415525114194E-2</v>
      </c>
    </row>
    <row r="297" spans="1:35" x14ac:dyDescent="0.25">
      <c r="A297" t="s">
        <v>32</v>
      </c>
      <c r="B297">
        <v>2017</v>
      </c>
      <c r="C297">
        <v>10</v>
      </c>
      <c r="D297" s="13">
        <f t="shared" si="20"/>
        <v>43009</v>
      </c>
      <c r="E297">
        <v>133.9</v>
      </c>
      <c r="F297">
        <v>142.80000000000001</v>
      </c>
      <c r="G297">
        <v>131.4</v>
      </c>
      <c r="H297">
        <v>139.1</v>
      </c>
      <c r="I297">
        <v>114.9</v>
      </c>
      <c r="J297">
        <v>135.6</v>
      </c>
      <c r="K297">
        <v>173.2</v>
      </c>
      <c r="L297">
        <v>124.1</v>
      </c>
      <c r="M297">
        <v>122.6</v>
      </c>
      <c r="N297">
        <v>137.80000000000001</v>
      </c>
      <c r="O297">
        <v>125.1</v>
      </c>
      <c r="P297">
        <v>145.5</v>
      </c>
      <c r="Q297">
        <v>139.69999999999999</v>
      </c>
      <c r="R297" s="12">
        <f t="shared" si="21"/>
        <v>-4.9857549857551071E-3</v>
      </c>
      <c r="S297">
        <v>154.6</v>
      </c>
      <c r="T297">
        <v>134</v>
      </c>
      <c r="U297">
        <v>124.9</v>
      </c>
      <c r="V297">
        <v>132.6</v>
      </c>
      <c r="W297">
        <v>137.30000000000001</v>
      </c>
      <c r="X297">
        <v>122.6</v>
      </c>
      <c r="Y297" s="12">
        <f t="shared" si="22"/>
        <v>-0.11223750905141203</v>
      </c>
      <c r="Z297">
        <v>128.30000000000001</v>
      </c>
      <c r="AA297">
        <v>126.6</v>
      </c>
      <c r="AB297" s="12">
        <f t="shared" si="23"/>
        <v>-5.6631892697466428E-2</v>
      </c>
      <c r="AC297">
        <v>115</v>
      </c>
      <c r="AD297">
        <v>124.8</v>
      </c>
      <c r="AE297">
        <v>136.30000000000001</v>
      </c>
      <c r="AF297">
        <v>124.6</v>
      </c>
      <c r="AG297">
        <v>124.5</v>
      </c>
      <c r="AH297">
        <v>133.5</v>
      </c>
      <c r="AI297" s="11">
        <f t="shared" si="24"/>
        <v>-3.4707158351410056E-2</v>
      </c>
    </row>
    <row r="298" spans="1:35" x14ac:dyDescent="0.25">
      <c r="A298" t="s">
        <v>33</v>
      </c>
      <c r="B298">
        <v>2017</v>
      </c>
      <c r="C298">
        <v>10</v>
      </c>
      <c r="D298" s="13">
        <f t="shared" si="20"/>
        <v>43009</v>
      </c>
      <c r="E298">
        <v>135.30000000000001</v>
      </c>
      <c r="F298">
        <v>142.19999999999999</v>
      </c>
      <c r="G298">
        <v>131.19999999999999</v>
      </c>
      <c r="H298">
        <v>140.6</v>
      </c>
      <c r="I298">
        <v>119</v>
      </c>
      <c r="J298">
        <v>141.5</v>
      </c>
      <c r="K298">
        <v>162.6</v>
      </c>
      <c r="L298">
        <v>132.30000000000001</v>
      </c>
      <c r="M298">
        <v>121.8</v>
      </c>
      <c r="N298">
        <v>136.30000000000001</v>
      </c>
      <c r="O298">
        <v>128.69999999999999</v>
      </c>
      <c r="P298">
        <v>148.1</v>
      </c>
      <c r="Q298">
        <v>140.1</v>
      </c>
      <c r="R298" s="12">
        <f t="shared" si="21"/>
        <v>2.863278453829676E-3</v>
      </c>
      <c r="S298">
        <v>151.6</v>
      </c>
      <c r="T298">
        <v>142</v>
      </c>
      <c r="U298">
        <v>134.1</v>
      </c>
      <c r="V298">
        <v>140.80000000000001</v>
      </c>
      <c r="W298">
        <v>137.30000000000001</v>
      </c>
      <c r="X298">
        <v>132.19999999999999</v>
      </c>
      <c r="Y298" s="12">
        <f t="shared" si="22"/>
        <v>7.8303425774877602E-2</v>
      </c>
      <c r="Z298">
        <v>133.6</v>
      </c>
      <c r="AA298">
        <v>131.30000000000001</v>
      </c>
      <c r="AB298" s="12">
        <f t="shared" si="23"/>
        <v>3.7124802527646265E-2</v>
      </c>
      <c r="AC298">
        <v>117.8</v>
      </c>
      <c r="AD298">
        <v>128.4</v>
      </c>
      <c r="AE298">
        <v>137.9</v>
      </c>
      <c r="AF298">
        <v>126.2</v>
      </c>
      <c r="AG298">
        <v>127.7</v>
      </c>
      <c r="AH298">
        <v>136.1</v>
      </c>
      <c r="AI298" s="11">
        <f t="shared" si="24"/>
        <v>1.9475655430711569E-2</v>
      </c>
    </row>
    <row r="299" spans="1:35" x14ac:dyDescent="0.25">
      <c r="A299" t="s">
        <v>30</v>
      </c>
      <c r="B299">
        <v>2018</v>
      </c>
      <c r="C299">
        <v>10</v>
      </c>
      <c r="D299" s="13">
        <f t="shared" si="20"/>
        <v>43374</v>
      </c>
      <c r="E299">
        <v>139.30000000000001</v>
      </c>
      <c r="F299">
        <v>147.6</v>
      </c>
      <c r="G299">
        <v>134.6</v>
      </c>
      <c r="H299">
        <v>141.9</v>
      </c>
      <c r="I299">
        <v>123.5</v>
      </c>
      <c r="J299">
        <v>144.5</v>
      </c>
      <c r="K299">
        <v>147.6</v>
      </c>
      <c r="L299">
        <v>121.4</v>
      </c>
      <c r="M299">
        <v>112.3</v>
      </c>
      <c r="N299">
        <v>139.5</v>
      </c>
      <c r="O299">
        <v>134.6</v>
      </c>
      <c r="P299">
        <v>155.19999999999999</v>
      </c>
      <c r="Q299">
        <v>140.19999999999999</v>
      </c>
      <c r="R299" s="12">
        <f t="shared" si="21"/>
        <v>7.1377587437540556E-4</v>
      </c>
      <c r="S299">
        <v>159.6</v>
      </c>
      <c r="T299">
        <v>150.69999999999999</v>
      </c>
      <c r="U299">
        <v>144.5</v>
      </c>
      <c r="V299">
        <v>149.80000000000001</v>
      </c>
      <c r="W299" t="s">
        <v>31</v>
      </c>
      <c r="X299">
        <v>149.69999999999999</v>
      </c>
      <c r="Y299" s="12">
        <f t="shared" si="22"/>
        <v>0.13237518910741303</v>
      </c>
      <c r="Z299">
        <v>147.5</v>
      </c>
      <c r="AA299">
        <v>144.80000000000001</v>
      </c>
      <c r="AB299" s="12">
        <f t="shared" si="23"/>
        <v>0.10281797410510281</v>
      </c>
      <c r="AC299">
        <v>130.80000000000001</v>
      </c>
      <c r="AD299">
        <v>140.1</v>
      </c>
      <c r="AE299">
        <v>148</v>
      </c>
      <c r="AF299">
        <v>134.4</v>
      </c>
      <c r="AG299">
        <v>139.80000000000001</v>
      </c>
      <c r="AH299">
        <v>142.19999999999999</v>
      </c>
      <c r="AI299" s="11">
        <f t="shared" si="24"/>
        <v>4.4819985304922809E-2</v>
      </c>
    </row>
    <row r="300" spans="1:35" x14ac:dyDescent="0.25">
      <c r="A300" t="s">
        <v>32</v>
      </c>
      <c r="B300">
        <v>2018</v>
      </c>
      <c r="C300">
        <v>10</v>
      </c>
      <c r="D300" s="13">
        <f t="shared" si="20"/>
        <v>43374</v>
      </c>
      <c r="E300">
        <v>137.6</v>
      </c>
      <c r="F300">
        <v>144.9</v>
      </c>
      <c r="G300">
        <v>133.5</v>
      </c>
      <c r="H300">
        <v>141.5</v>
      </c>
      <c r="I300">
        <v>118</v>
      </c>
      <c r="J300">
        <v>139.5</v>
      </c>
      <c r="K300">
        <v>153</v>
      </c>
      <c r="L300">
        <v>113.2</v>
      </c>
      <c r="M300">
        <v>112.8</v>
      </c>
      <c r="N300">
        <v>141.1</v>
      </c>
      <c r="O300">
        <v>127.6</v>
      </c>
      <c r="P300">
        <v>152</v>
      </c>
      <c r="Q300">
        <v>139.4</v>
      </c>
      <c r="R300" s="12">
        <f t="shared" si="21"/>
        <v>-5.7061340941510913E-3</v>
      </c>
      <c r="S300">
        <v>164</v>
      </c>
      <c r="T300">
        <v>141.5</v>
      </c>
      <c r="U300">
        <v>129.80000000000001</v>
      </c>
      <c r="V300">
        <v>139.69999999999999</v>
      </c>
      <c r="W300">
        <v>146.30000000000001</v>
      </c>
      <c r="X300">
        <v>133.4</v>
      </c>
      <c r="Y300" s="12">
        <f t="shared" si="22"/>
        <v>-0.10888443553774205</v>
      </c>
      <c r="Z300">
        <v>135.1</v>
      </c>
      <c r="AA300">
        <v>136.19999999999999</v>
      </c>
      <c r="AB300" s="12">
        <f t="shared" si="23"/>
        <v>-5.9392265193370319E-2</v>
      </c>
      <c r="AC300">
        <v>123.3</v>
      </c>
      <c r="AD300">
        <v>130.69999999999999</v>
      </c>
      <c r="AE300">
        <v>145.5</v>
      </c>
      <c r="AF300">
        <v>130.4</v>
      </c>
      <c r="AG300">
        <v>132.5</v>
      </c>
      <c r="AH300">
        <v>138.9</v>
      </c>
      <c r="AI300" s="11">
        <f t="shared" si="24"/>
        <v>-2.3206751054852204E-2</v>
      </c>
    </row>
    <row r="301" spans="1:35" x14ac:dyDescent="0.25">
      <c r="A301" t="s">
        <v>33</v>
      </c>
      <c r="B301">
        <v>2018</v>
      </c>
      <c r="C301">
        <v>10</v>
      </c>
      <c r="D301" s="13">
        <f t="shared" si="20"/>
        <v>43374</v>
      </c>
      <c r="E301">
        <v>137.4</v>
      </c>
      <c r="F301">
        <v>149.5</v>
      </c>
      <c r="G301">
        <v>137.30000000000001</v>
      </c>
      <c r="H301">
        <v>141.9</v>
      </c>
      <c r="I301">
        <v>121.1</v>
      </c>
      <c r="J301">
        <v>142.5</v>
      </c>
      <c r="K301">
        <v>146.69999999999999</v>
      </c>
      <c r="L301">
        <v>119.1</v>
      </c>
      <c r="M301">
        <v>111.9</v>
      </c>
      <c r="N301">
        <v>141</v>
      </c>
      <c r="O301">
        <v>133.6</v>
      </c>
      <c r="P301">
        <v>154.5</v>
      </c>
      <c r="Q301">
        <v>139.69999999999999</v>
      </c>
      <c r="R301" s="12">
        <f t="shared" si="21"/>
        <v>2.1520803443327327E-3</v>
      </c>
      <c r="S301">
        <v>162.6</v>
      </c>
      <c r="T301">
        <v>148</v>
      </c>
      <c r="U301">
        <v>139.19999999999999</v>
      </c>
      <c r="V301">
        <v>146.80000000000001</v>
      </c>
      <c r="W301">
        <v>146.9</v>
      </c>
      <c r="X301">
        <v>145.30000000000001</v>
      </c>
      <c r="Y301" s="12">
        <f t="shared" si="22"/>
        <v>8.9205397301349368E-2</v>
      </c>
      <c r="Z301">
        <v>142.19999999999999</v>
      </c>
      <c r="AA301">
        <v>142.1</v>
      </c>
      <c r="AB301" s="12">
        <f t="shared" si="23"/>
        <v>4.3318649045521337E-2</v>
      </c>
      <c r="AC301">
        <v>125.5</v>
      </c>
      <c r="AD301">
        <v>136.5</v>
      </c>
      <c r="AE301">
        <v>147.80000000000001</v>
      </c>
      <c r="AF301">
        <v>132</v>
      </c>
      <c r="AG301">
        <v>136.30000000000001</v>
      </c>
      <c r="AH301">
        <v>140.80000000000001</v>
      </c>
      <c r="AI301" s="11">
        <f t="shared" si="24"/>
        <v>1.3678905687545036E-2</v>
      </c>
    </row>
    <row r="302" spans="1:35" x14ac:dyDescent="0.25">
      <c r="A302" t="s">
        <v>30</v>
      </c>
      <c r="B302">
        <v>2019</v>
      </c>
      <c r="C302">
        <v>10</v>
      </c>
      <c r="D302" s="13">
        <f t="shared" si="20"/>
        <v>43739</v>
      </c>
      <c r="E302">
        <v>141</v>
      </c>
      <c r="F302">
        <v>161.6</v>
      </c>
      <c r="G302">
        <v>141.19999999999999</v>
      </c>
      <c r="H302">
        <v>146.5</v>
      </c>
      <c r="I302">
        <v>125.6</v>
      </c>
      <c r="J302">
        <v>145.69999999999999</v>
      </c>
      <c r="K302">
        <v>178.8</v>
      </c>
      <c r="L302">
        <v>133.1</v>
      </c>
      <c r="M302">
        <v>113.6</v>
      </c>
      <c r="N302">
        <v>145.5</v>
      </c>
      <c r="O302">
        <v>138.6</v>
      </c>
      <c r="P302">
        <v>157.4</v>
      </c>
      <c r="Q302">
        <v>148.30000000000001</v>
      </c>
      <c r="R302" s="12">
        <f t="shared" si="21"/>
        <v>6.1560486757337315E-2</v>
      </c>
      <c r="S302">
        <v>166.3</v>
      </c>
      <c r="T302">
        <v>151.69999999999999</v>
      </c>
      <c r="U302">
        <v>146.69999999999999</v>
      </c>
      <c r="V302">
        <v>151</v>
      </c>
      <c r="W302" t="s">
        <v>31</v>
      </c>
      <c r="X302">
        <v>147.69999999999999</v>
      </c>
      <c r="Y302" s="12">
        <f t="shared" si="22"/>
        <v>1.6517549896765155E-2</v>
      </c>
      <c r="Z302">
        <v>150.6</v>
      </c>
      <c r="AA302">
        <v>153.69999999999999</v>
      </c>
      <c r="AB302" s="12">
        <f t="shared" si="23"/>
        <v>8.1632653061224456E-2</v>
      </c>
      <c r="AC302">
        <v>131.69999999999999</v>
      </c>
      <c r="AD302">
        <v>148.69999999999999</v>
      </c>
      <c r="AE302">
        <v>160.69999999999999</v>
      </c>
      <c r="AF302">
        <v>140.30000000000001</v>
      </c>
      <c r="AG302">
        <v>145.69999999999999</v>
      </c>
      <c r="AH302">
        <v>148.30000000000001</v>
      </c>
      <c r="AI302" s="11">
        <f t="shared" si="24"/>
        <v>5.3267045454545449E-2</v>
      </c>
    </row>
    <row r="303" spans="1:35" x14ac:dyDescent="0.25">
      <c r="A303" t="s">
        <v>32</v>
      </c>
      <c r="B303">
        <v>2019</v>
      </c>
      <c r="C303">
        <v>10</v>
      </c>
      <c r="D303" s="13">
        <f t="shared" si="20"/>
        <v>43739</v>
      </c>
      <c r="E303">
        <v>143.5</v>
      </c>
      <c r="F303">
        <v>159.80000000000001</v>
      </c>
      <c r="G303">
        <v>144.69999999999999</v>
      </c>
      <c r="H303">
        <v>145.6</v>
      </c>
      <c r="I303">
        <v>121.1</v>
      </c>
      <c r="J303">
        <v>150.6</v>
      </c>
      <c r="K303">
        <v>207.2</v>
      </c>
      <c r="L303">
        <v>131.19999999999999</v>
      </c>
      <c r="M303">
        <v>114.8</v>
      </c>
      <c r="N303">
        <v>145.19999999999999</v>
      </c>
      <c r="O303">
        <v>130.19999999999999</v>
      </c>
      <c r="P303">
        <v>156.80000000000001</v>
      </c>
      <c r="Q303">
        <v>151.9</v>
      </c>
      <c r="R303" s="12">
        <f t="shared" si="21"/>
        <v>2.4275118004045814E-2</v>
      </c>
      <c r="S303">
        <v>169.3</v>
      </c>
      <c r="T303">
        <v>145.9</v>
      </c>
      <c r="U303">
        <v>132.4</v>
      </c>
      <c r="V303">
        <v>143.9</v>
      </c>
      <c r="W303">
        <v>153</v>
      </c>
      <c r="X303">
        <v>128.9</v>
      </c>
      <c r="Y303" s="12">
        <f t="shared" si="22"/>
        <v>-0.12728503723764376</v>
      </c>
      <c r="Z303">
        <v>138.69999999999999</v>
      </c>
      <c r="AA303">
        <v>142.4</v>
      </c>
      <c r="AB303" s="12">
        <f t="shared" si="23"/>
        <v>-7.3519843851658967E-2</v>
      </c>
      <c r="AC303">
        <v>121.5</v>
      </c>
      <c r="AD303">
        <v>136.19999999999999</v>
      </c>
      <c r="AE303">
        <v>151.69999999999999</v>
      </c>
      <c r="AF303">
        <v>139.5</v>
      </c>
      <c r="AG303">
        <v>136</v>
      </c>
      <c r="AH303">
        <v>146</v>
      </c>
      <c r="AI303" s="11">
        <f t="shared" si="24"/>
        <v>-1.5509103169251593E-2</v>
      </c>
    </row>
    <row r="304" spans="1:35" x14ac:dyDescent="0.25">
      <c r="A304" t="s">
        <v>33</v>
      </c>
      <c r="B304">
        <v>2019</v>
      </c>
      <c r="C304">
        <v>10</v>
      </c>
      <c r="D304" s="13">
        <f t="shared" si="20"/>
        <v>43739</v>
      </c>
      <c r="E304">
        <v>141.80000000000001</v>
      </c>
      <c r="F304">
        <v>161</v>
      </c>
      <c r="G304">
        <v>142.6</v>
      </c>
      <c r="H304">
        <v>146.19999999999999</v>
      </c>
      <c r="I304">
        <v>123.9</v>
      </c>
      <c r="J304">
        <v>148</v>
      </c>
      <c r="K304">
        <v>188.4</v>
      </c>
      <c r="L304">
        <v>132.5</v>
      </c>
      <c r="M304">
        <v>114</v>
      </c>
      <c r="N304">
        <v>145.4</v>
      </c>
      <c r="O304">
        <v>135.1</v>
      </c>
      <c r="P304">
        <v>157.1</v>
      </c>
      <c r="Q304">
        <v>149.6</v>
      </c>
      <c r="R304" s="12">
        <f t="shared" si="21"/>
        <v>-1.5141540487162682E-2</v>
      </c>
      <c r="S304">
        <v>167.1</v>
      </c>
      <c r="T304">
        <v>149.4</v>
      </c>
      <c r="U304">
        <v>140.80000000000001</v>
      </c>
      <c r="V304">
        <v>148.19999999999999</v>
      </c>
      <c r="W304">
        <v>153</v>
      </c>
      <c r="X304">
        <v>140.6</v>
      </c>
      <c r="Y304" s="12">
        <f t="shared" si="22"/>
        <v>9.0768037238169036E-2</v>
      </c>
      <c r="Z304">
        <v>145</v>
      </c>
      <c r="AA304">
        <v>149.4</v>
      </c>
      <c r="AB304" s="12">
        <f t="shared" si="23"/>
        <v>4.9157303370786512E-2</v>
      </c>
      <c r="AC304">
        <v>126.3</v>
      </c>
      <c r="AD304">
        <v>141.69999999999999</v>
      </c>
      <c r="AE304">
        <v>155.4</v>
      </c>
      <c r="AF304">
        <v>140</v>
      </c>
      <c r="AG304">
        <v>141</v>
      </c>
      <c r="AH304">
        <v>147.19999999999999</v>
      </c>
      <c r="AI304" s="11">
        <f t="shared" si="24"/>
        <v>8.2191780821917037E-3</v>
      </c>
    </row>
    <row r="305" spans="1:35" x14ac:dyDescent="0.25">
      <c r="A305" t="s">
        <v>30</v>
      </c>
      <c r="B305">
        <v>2020</v>
      </c>
      <c r="C305">
        <v>10</v>
      </c>
      <c r="D305" s="13">
        <f t="shared" si="20"/>
        <v>44105</v>
      </c>
      <c r="E305">
        <v>146</v>
      </c>
      <c r="F305">
        <v>186.3</v>
      </c>
      <c r="G305">
        <v>159.19999999999999</v>
      </c>
      <c r="H305">
        <v>153.6</v>
      </c>
      <c r="I305">
        <v>142.6</v>
      </c>
      <c r="J305">
        <v>147.19999999999999</v>
      </c>
      <c r="K305">
        <v>200.6</v>
      </c>
      <c r="L305">
        <v>150.30000000000001</v>
      </c>
      <c r="M305">
        <v>115.3</v>
      </c>
      <c r="N305">
        <v>160.9</v>
      </c>
      <c r="O305">
        <v>147.4</v>
      </c>
      <c r="P305">
        <v>161.9</v>
      </c>
      <c r="Q305">
        <v>159.6</v>
      </c>
      <c r="R305" s="12">
        <f t="shared" si="21"/>
        <v>6.684491978609626E-2</v>
      </c>
      <c r="S305">
        <v>182.7</v>
      </c>
      <c r="T305">
        <v>155.69999999999999</v>
      </c>
      <c r="U305">
        <v>150.6</v>
      </c>
      <c r="V305">
        <v>155</v>
      </c>
      <c r="W305" t="s">
        <v>31</v>
      </c>
      <c r="X305">
        <v>146.80000000000001</v>
      </c>
      <c r="Y305" s="12">
        <f t="shared" si="22"/>
        <v>4.4096728307254744E-2</v>
      </c>
      <c r="Z305">
        <v>152</v>
      </c>
      <c r="AA305">
        <v>159.5</v>
      </c>
      <c r="AB305" s="12">
        <f t="shared" si="23"/>
        <v>6.7603748326639845E-2</v>
      </c>
      <c r="AC305">
        <v>146.4</v>
      </c>
      <c r="AD305">
        <v>152.4</v>
      </c>
      <c r="AE305">
        <v>162.5</v>
      </c>
      <c r="AF305">
        <v>156.19999999999999</v>
      </c>
      <c r="AG305">
        <v>154.30000000000001</v>
      </c>
      <c r="AH305">
        <v>157.5</v>
      </c>
      <c r="AI305" s="11">
        <f t="shared" si="24"/>
        <v>6.997282608695661E-2</v>
      </c>
    </row>
    <row r="306" spans="1:35" x14ac:dyDescent="0.25">
      <c r="A306" t="s">
        <v>32</v>
      </c>
      <c r="B306">
        <v>2020</v>
      </c>
      <c r="C306">
        <v>10</v>
      </c>
      <c r="D306" s="13">
        <f t="shared" si="20"/>
        <v>44105</v>
      </c>
      <c r="E306">
        <v>150.6</v>
      </c>
      <c r="F306">
        <v>193.7</v>
      </c>
      <c r="G306">
        <v>164.8</v>
      </c>
      <c r="H306">
        <v>153.69999999999999</v>
      </c>
      <c r="I306">
        <v>135.69999999999999</v>
      </c>
      <c r="J306">
        <v>155.69999999999999</v>
      </c>
      <c r="K306">
        <v>226</v>
      </c>
      <c r="L306">
        <v>152.19999999999999</v>
      </c>
      <c r="M306">
        <v>118.1</v>
      </c>
      <c r="N306">
        <v>161.30000000000001</v>
      </c>
      <c r="O306">
        <v>139.19999999999999</v>
      </c>
      <c r="P306">
        <v>164.8</v>
      </c>
      <c r="Q306">
        <v>164.4</v>
      </c>
      <c r="R306" s="12">
        <f t="shared" si="21"/>
        <v>3.0075187969924883E-2</v>
      </c>
      <c r="S306">
        <v>188.7</v>
      </c>
      <c r="T306">
        <v>150.5</v>
      </c>
      <c r="U306">
        <v>136.1</v>
      </c>
      <c r="V306">
        <v>148.30000000000001</v>
      </c>
      <c r="W306">
        <v>156.5</v>
      </c>
      <c r="X306">
        <v>137.1</v>
      </c>
      <c r="Y306" s="12">
        <f t="shared" si="22"/>
        <v>-6.6076294277929271E-2</v>
      </c>
      <c r="Z306">
        <v>145.1</v>
      </c>
      <c r="AA306">
        <v>151</v>
      </c>
      <c r="AB306" s="12">
        <f t="shared" si="23"/>
        <v>-5.329153605015674E-2</v>
      </c>
      <c r="AC306">
        <v>135.4</v>
      </c>
      <c r="AD306">
        <v>142</v>
      </c>
      <c r="AE306">
        <v>155.69999999999999</v>
      </c>
      <c r="AF306">
        <v>158.1</v>
      </c>
      <c r="AG306">
        <v>146.19999999999999</v>
      </c>
      <c r="AH306">
        <v>155.19999999999999</v>
      </c>
      <c r="AI306" s="11">
        <f t="shared" si="24"/>
        <v>-1.4603174603174675E-2</v>
      </c>
    </row>
    <row r="307" spans="1:35" x14ac:dyDescent="0.25">
      <c r="A307" t="s">
        <v>33</v>
      </c>
      <c r="B307">
        <v>2020</v>
      </c>
      <c r="C307">
        <v>10</v>
      </c>
      <c r="D307" s="13">
        <f t="shared" si="20"/>
        <v>44105</v>
      </c>
      <c r="E307">
        <v>147.5</v>
      </c>
      <c r="F307">
        <v>188.9</v>
      </c>
      <c r="G307">
        <v>161.4</v>
      </c>
      <c r="H307">
        <v>153.6</v>
      </c>
      <c r="I307">
        <v>140.1</v>
      </c>
      <c r="J307">
        <v>151.19999999999999</v>
      </c>
      <c r="K307">
        <v>209.2</v>
      </c>
      <c r="L307">
        <v>150.9</v>
      </c>
      <c r="M307">
        <v>116.2</v>
      </c>
      <c r="N307">
        <v>161</v>
      </c>
      <c r="O307">
        <v>144</v>
      </c>
      <c r="P307">
        <v>163.19999999999999</v>
      </c>
      <c r="Q307">
        <v>161.4</v>
      </c>
      <c r="R307" s="12">
        <f t="shared" si="21"/>
        <v>-1.824817518248175E-2</v>
      </c>
      <c r="S307">
        <v>184.3</v>
      </c>
      <c r="T307">
        <v>153.69999999999999</v>
      </c>
      <c r="U307">
        <v>144.6</v>
      </c>
      <c r="V307">
        <v>152.30000000000001</v>
      </c>
      <c r="W307">
        <v>156.5</v>
      </c>
      <c r="X307">
        <v>143.1</v>
      </c>
      <c r="Y307" s="12">
        <f t="shared" si="22"/>
        <v>4.3763676148796497E-2</v>
      </c>
      <c r="Z307">
        <v>148.69999999999999</v>
      </c>
      <c r="AA307">
        <v>156.30000000000001</v>
      </c>
      <c r="AB307" s="12">
        <f t="shared" si="23"/>
        <v>3.5099337748344443E-2</v>
      </c>
      <c r="AC307">
        <v>140.6</v>
      </c>
      <c r="AD307">
        <v>146.5</v>
      </c>
      <c r="AE307">
        <v>158.5</v>
      </c>
      <c r="AF307">
        <v>157</v>
      </c>
      <c r="AG307">
        <v>150.4</v>
      </c>
      <c r="AH307">
        <v>156.4</v>
      </c>
      <c r="AI307" s="11">
        <f t="shared" si="24"/>
        <v>7.7319587628867084E-3</v>
      </c>
    </row>
    <row r="308" spans="1:35" x14ac:dyDescent="0.25">
      <c r="A308" t="s">
        <v>30</v>
      </c>
      <c r="B308">
        <v>2021</v>
      </c>
      <c r="C308">
        <v>10</v>
      </c>
      <c r="D308" s="13">
        <f t="shared" si="20"/>
        <v>44470</v>
      </c>
      <c r="E308">
        <v>146.1</v>
      </c>
      <c r="F308">
        <v>202.5</v>
      </c>
      <c r="G308">
        <v>170.1</v>
      </c>
      <c r="H308">
        <v>158.4</v>
      </c>
      <c r="I308">
        <v>198.8</v>
      </c>
      <c r="J308">
        <v>152.6</v>
      </c>
      <c r="K308">
        <v>170.4</v>
      </c>
      <c r="L308">
        <v>165.2</v>
      </c>
      <c r="M308">
        <v>121.6</v>
      </c>
      <c r="N308">
        <v>170.6</v>
      </c>
      <c r="O308">
        <v>168.8</v>
      </c>
      <c r="P308">
        <v>173.6</v>
      </c>
      <c r="Q308">
        <v>165.5</v>
      </c>
      <c r="R308" s="12">
        <f t="shared" si="21"/>
        <v>2.5402726146220533E-2</v>
      </c>
      <c r="S308">
        <v>191.2</v>
      </c>
      <c r="T308">
        <v>168.9</v>
      </c>
      <c r="U308">
        <v>164.8</v>
      </c>
      <c r="V308">
        <v>168.3</v>
      </c>
      <c r="W308" t="s">
        <v>31</v>
      </c>
      <c r="X308">
        <v>165.5</v>
      </c>
      <c r="Y308" s="12">
        <f t="shared" si="22"/>
        <v>0.15653389238294904</v>
      </c>
      <c r="Z308">
        <v>162</v>
      </c>
      <c r="AA308">
        <v>172.5</v>
      </c>
      <c r="AB308" s="12">
        <f t="shared" si="23"/>
        <v>0.10364683301343562</v>
      </c>
      <c r="AC308">
        <v>159.5</v>
      </c>
      <c r="AD308">
        <v>163.19999999999999</v>
      </c>
      <c r="AE308">
        <v>169</v>
      </c>
      <c r="AF308">
        <v>161.1</v>
      </c>
      <c r="AG308">
        <v>164.7</v>
      </c>
      <c r="AH308">
        <v>166.3</v>
      </c>
      <c r="AI308" s="11">
        <f t="shared" si="24"/>
        <v>6.3299232736572925E-2</v>
      </c>
    </row>
    <row r="309" spans="1:35" x14ac:dyDescent="0.25">
      <c r="A309" t="s">
        <v>32</v>
      </c>
      <c r="B309">
        <v>2021</v>
      </c>
      <c r="C309">
        <v>10</v>
      </c>
      <c r="D309" s="13">
        <f t="shared" si="20"/>
        <v>44470</v>
      </c>
      <c r="E309">
        <v>150.1</v>
      </c>
      <c r="F309">
        <v>208.4</v>
      </c>
      <c r="G309">
        <v>173</v>
      </c>
      <c r="H309">
        <v>159.19999999999999</v>
      </c>
      <c r="I309">
        <v>176.6</v>
      </c>
      <c r="J309">
        <v>159.30000000000001</v>
      </c>
      <c r="K309">
        <v>214.4</v>
      </c>
      <c r="L309">
        <v>165.3</v>
      </c>
      <c r="M309">
        <v>122.5</v>
      </c>
      <c r="N309">
        <v>166.8</v>
      </c>
      <c r="O309">
        <v>155.4</v>
      </c>
      <c r="P309">
        <v>175.9</v>
      </c>
      <c r="Q309">
        <v>171.5</v>
      </c>
      <c r="R309" s="12">
        <f t="shared" si="21"/>
        <v>3.6253776435045321E-2</v>
      </c>
      <c r="S309">
        <v>197</v>
      </c>
      <c r="T309">
        <v>160.80000000000001</v>
      </c>
      <c r="U309">
        <v>144.4</v>
      </c>
      <c r="V309">
        <v>158.30000000000001</v>
      </c>
      <c r="W309">
        <v>163.6</v>
      </c>
      <c r="X309">
        <v>162.19999999999999</v>
      </c>
      <c r="Y309" s="12">
        <f t="shared" si="22"/>
        <v>-1.9939577039274993E-2</v>
      </c>
      <c r="Z309">
        <v>154.30000000000001</v>
      </c>
      <c r="AA309">
        <v>163.5</v>
      </c>
      <c r="AB309" s="12">
        <f t="shared" si="23"/>
        <v>-5.2173913043478258E-2</v>
      </c>
      <c r="AC309">
        <v>152.19999999999999</v>
      </c>
      <c r="AD309">
        <v>155.1</v>
      </c>
      <c r="AE309">
        <v>160.30000000000001</v>
      </c>
      <c r="AF309">
        <v>160.30000000000001</v>
      </c>
      <c r="AG309">
        <v>157</v>
      </c>
      <c r="AH309">
        <v>164.6</v>
      </c>
      <c r="AI309" s="11">
        <f t="shared" si="24"/>
        <v>-1.0222489476849169E-2</v>
      </c>
    </row>
    <row r="310" spans="1:35" x14ac:dyDescent="0.25">
      <c r="A310" t="s">
        <v>33</v>
      </c>
      <c r="B310">
        <v>2021</v>
      </c>
      <c r="C310">
        <v>10</v>
      </c>
      <c r="D310" s="13">
        <f t="shared" si="20"/>
        <v>44470</v>
      </c>
      <c r="E310">
        <v>147.4</v>
      </c>
      <c r="F310">
        <v>204.6</v>
      </c>
      <c r="G310">
        <v>171.2</v>
      </c>
      <c r="H310">
        <v>158.69999999999999</v>
      </c>
      <c r="I310">
        <v>190.6</v>
      </c>
      <c r="J310">
        <v>155.69999999999999</v>
      </c>
      <c r="K310">
        <v>185.3</v>
      </c>
      <c r="L310">
        <v>165.2</v>
      </c>
      <c r="M310">
        <v>121.9</v>
      </c>
      <c r="N310">
        <v>169.3</v>
      </c>
      <c r="O310">
        <v>163.19999999999999</v>
      </c>
      <c r="P310">
        <v>174.7</v>
      </c>
      <c r="Q310">
        <v>167.7</v>
      </c>
      <c r="R310" s="12">
        <f t="shared" si="21"/>
        <v>-2.2157434402332428E-2</v>
      </c>
      <c r="S310">
        <v>192.7</v>
      </c>
      <c r="T310">
        <v>165.7</v>
      </c>
      <c r="U310">
        <v>156.30000000000001</v>
      </c>
      <c r="V310">
        <v>164.3</v>
      </c>
      <c r="W310">
        <v>163.6</v>
      </c>
      <c r="X310">
        <v>164.2</v>
      </c>
      <c r="Y310" s="12">
        <f t="shared" si="22"/>
        <v>1.2330456226880395E-2</v>
      </c>
      <c r="Z310">
        <v>158.4</v>
      </c>
      <c r="AA310">
        <v>169.1</v>
      </c>
      <c r="AB310" s="12">
        <f t="shared" si="23"/>
        <v>3.4250764525993849E-2</v>
      </c>
      <c r="AC310">
        <v>155.69999999999999</v>
      </c>
      <c r="AD310">
        <v>158.6</v>
      </c>
      <c r="AE310">
        <v>163.9</v>
      </c>
      <c r="AF310">
        <v>160.80000000000001</v>
      </c>
      <c r="AG310">
        <v>161</v>
      </c>
      <c r="AH310">
        <v>165.5</v>
      </c>
      <c r="AI310" s="11">
        <f t="shared" si="24"/>
        <v>5.4678007290401322E-3</v>
      </c>
    </row>
    <row r="311" spans="1:35" x14ac:dyDescent="0.25">
      <c r="A311" t="s">
        <v>30</v>
      </c>
      <c r="B311">
        <v>2022</v>
      </c>
      <c r="C311">
        <v>10</v>
      </c>
      <c r="D311" s="13">
        <f t="shared" si="20"/>
        <v>44835</v>
      </c>
      <c r="E311">
        <v>164.7</v>
      </c>
      <c r="F311">
        <v>208.8</v>
      </c>
      <c r="G311">
        <v>170.3</v>
      </c>
      <c r="H311">
        <v>170.9</v>
      </c>
      <c r="I311">
        <v>191.6</v>
      </c>
      <c r="J311">
        <v>162.19999999999999</v>
      </c>
      <c r="K311">
        <v>184.8</v>
      </c>
      <c r="L311">
        <v>169.7</v>
      </c>
      <c r="M311">
        <v>121.1</v>
      </c>
      <c r="N311">
        <v>201.6</v>
      </c>
      <c r="O311">
        <v>175.8</v>
      </c>
      <c r="P311">
        <v>185.6</v>
      </c>
      <c r="Q311">
        <v>177.4</v>
      </c>
      <c r="R311" s="12">
        <f t="shared" si="21"/>
        <v>5.7841383422778878E-2</v>
      </c>
      <c r="S311">
        <v>194.9</v>
      </c>
      <c r="T311">
        <v>186.1</v>
      </c>
      <c r="U311">
        <v>184.4</v>
      </c>
      <c r="V311">
        <v>185.9</v>
      </c>
      <c r="W311" t="s">
        <v>31</v>
      </c>
      <c r="X311">
        <v>180.8</v>
      </c>
      <c r="Y311" s="12">
        <f t="shared" si="22"/>
        <v>0.10109622411693071</v>
      </c>
      <c r="Z311">
        <v>174.4</v>
      </c>
      <c r="AA311">
        <v>181.2</v>
      </c>
      <c r="AB311" s="12">
        <f t="shared" si="23"/>
        <v>7.1555292726197484E-2</v>
      </c>
      <c r="AC311">
        <v>167.4</v>
      </c>
      <c r="AD311">
        <v>170.6</v>
      </c>
      <c r="AE311">
        <v>176.5</v>
      </c>
      <c r="AF311">
        <v>172</v>
      </c>
      <c r="AG311">
        <v>173.9</v>
      </c>
      <c r="AH311">
        <v>177.9</v>
      </c>
      <c r="AI311" s="11">
        <f t="shared" si="24"/>
        <v>7.4924471299093687E-2</v>
      </c>
    </row>
    <row r="312" spans="1:35" x14ac:dyDescent="0.25">
      <c r="A312" t="s">
        <v>32</v>
      </c>
      <c r="B312">
        <v>2022</v>
      </c>
      <c r="C312">
        <v>10</v>
      </c>
      <c r="D312" s="13">
        <f t="shared" si="20"/>
        <v>44835</v>
      </c>
      <c r="E312">
        <v>166.4</v>
      </c>
      <c r="F312">
        <v>214.9</v>
      </c>
      <c r="G312">
        <v>171.9</v>
      </c>
      <c r="H312">
        <v>171</v>
      </c>
      <c r="I312">
        <v>177.7</v>
      </c>
      <c r="J312">
        <v>165.7</v>
      </c>
      <c r="K312">
        <v>228.6</v>
      </c>
      <c r="L312">
        <v>169.9</v>
      </c>
      <c r="M312">
        <v>123.4</v>
      </c>
      <c r="N312">
        <v>196.4</v>
      </c>
      <c r="O312">
        <v>161.6</v>
      </c>
      <c r="P312">
        <v>191.5</v>
      </c>
      <c r="Q312">
        <v>183.3</v>
      </c>
      <c r="R312" s="12">
        <f t="shared" si="21"/>
        <v>3.3258173618940276E-2</v>
      </c>
      <c r="S312">
        <v>200.1</v>
      </c>
      <c r="T312">
        <v>175.5</v>
      </c>
      <c r="U312">
        <v>162.6</v>
      </c>
      <c r="V312">
        <v>173.6</v>
      </c>
      <c r="W312">
        <v>171.2</v>
      </c>
      <c r="X312">
        <v>180</v>
      </c>
      <c r="Y312" s="12">
        <f t="shared" si="22"/>
        <v>-4.4247787610620093E-3</v>
      </c>
      <c r="Z312">
        <v>166</v>
      </c>
      <c r="AA312">
        <v>174.7</v>
      </c>
      <c r="AB312" s="12">
        <f t="shared" si="23"/>
        <v>-3.5871964679911703E-2</v>
      </c>
      <c r="AC312">
        <v>158.80000000000001</v>
      </c>
      <c r="AD312">
        <v>166.3</v>
      </c>
      <c r="AE312">
        <v>171.2</v>
      </c>
      <c r="AF312">
        <v>172.3</v>
      </c>
      <c r="AG312">
        <v>166.8</v>
      </c>
      <c r="AH312">
        <v>175.3</v>
      </c>
      <c r="AI312" s="11">
        <f t="shared" si="24"/>
        <v>-1.4614952220348478E-2</v>
      </c>
    </row>
    <row r="313" spans="1:35" x14ac:dyDescent="0.25">
      <c r="A313" t="s">
        <v>33</v>
      </c>
      <c r="B313">
        <v>2022</v>
      </c>
      <c r="C313">
        <v>10</v>
      </c>
      <c r="D313" s="13">
        <f t="shared" si="20"/>
        <v>44835</v>
      </c>
      <c r="E313">
        <v>165.2</v>
      </c>
      <c r="F313">
        <v>210.9</v>
      </c>
      <c r="G313">
        <v>170.9</v>
      </c>
      <c r="H313">
        <v>170.9</v>
      </c>
      <c r="I313">
        <v>186.5</v>
      </c>
      <c r="J313">
        <v>163.80000000000001</v>
      </c>
      <c r="K313">
        <v>199.7</v>
      </c>
      <c r="L313">
        <v>169.8</v>
      </c>
      <c r="M313">
        <v>121.9</v>
      </c>
      <c r="N313">
        <v>199.9</v>
      </c>
      <c r="O313">
        <v>169.9</v>
      </c>
      <c r="P313">
        <v>188.3</v>
      </c>
      <c r="Q313">
        <v>179.6</v>
      </c>
      <c r="R313" s="12">
        <f t="shared" si="21"/>
        <v>-2.0185488270594746E-2</v>
      </c>
      <c r="S313">
        <v>196.3</v>
      </c>
      <c r="T313">
        <v>181.9</v>
      </c>
      <c r="U313">
        <v>175.3</v>
      </c>
      <c r="V313">
        <v>181</v>
      </c>
      <c r="W313">
        <v>171.2</v>
      </c>
      <c r="X313">
        <v>180.5</v>
      </c>
      <c r="Y313" s="12">
        <f t="shared" si="22"/>
        <v>2.7777777777777779E-3</v>
      </c>
      <c r="Z313">
        <v>170.4</v>
      </c>
      <c r="AA313">
        <v>178.7</v>
      </c>
      <c r="AB313" s="12">
        <f t="shared" si="23"/>
        <v>2.2896393817973669E-2</v>
      </c>
      <c r="AC313">
        <v>162.9</v>
      </c>
      <c r="AD313">
        <v>168.2</v>
      </c>
      <c r="AE313">
        <v>173.4</v>
      </c>
      <c r="AF313">
        <v>172.1</v>
      </c>
      <c r="AG313">
        <v>170.5</v>
      </c>
      <c r="AH313">
        <v>176.7</v>
      </c>
      <c r="AI313" s="11">
        <f t="shared" si="24"/>
        <v>7.9863091842554308E-3</v>
      </c>
    </row>
    <row r="314" spans="1:35" x14ac:dyDescent="0.25">
      <c r="A314" t="s">
        <v>30</v>
      </c>
      <c r="B314">
        <v>2013</v>
      </c>
      <c r="C314">
        <v>11</v>
      </c>
      <c r="D314" s="13">
        <f t="shared" si="20"/>
        <v>41579</v>
      </c>
      <c r="E314">
        <v>117.3</v>
      </c>
      <c r="F314">
        <v>114.9</v>
      </c>
      <c r="G314">
        <v>116.2</v>
      </c>
      <c r="H314">
        <v>112.8</v>
      </c>
      <c r="I314">
        <v>108.9</v>
      </c>
      <c r="J314">
        <v>116.6</v>
      </c>
      <c r="K314">
        <v>178.1</v>
      </c>
      <c r="L314">
        <v>109.1</v>
      </c>
      <c r="M314">
        <v>103.6</v>
      </c>
      <c r="N314">
        <v>109</v>
      </c>
      <c r="O314">
        <v>111.8</v>
      </c>
      <c r="P314">
        <v>116</v>
      </c>
      <c r="Q314">
        <v>122.5</v>
      </c>
      <c r="R314" s="12">
        <f t="shared" si="21"/>
        <v>-0.3179287305122494</v>
      </c>
      <c r="S314">
        <v>112.8</v>
      </c>
      <c r="T314">
        <v>114.6</v>
      </c>
      <c r="U314">
        <v>113.1</v>
      </c>
      <c r="V314">
        <v>114.4</v>
      </c>
      <c r="W314" t="s">
        <v>31</v>
      </c>
      <c r="X314">
        <v>112.6</v>
      </c>
      <c r="Y314" s="12">
        <f t="shared" si="22"/>
        <v>-0.3761772853185596</v>
      </c>
      <c r="Z314">
        <v>111.3</v>
      </c>
      <c r="AA314">
        <v>109.7</v>
      </c>
      <c r="AB314" s="12">
        <f t="shared" si="23"/>
        <v>-0.38612199216564069</v>
      </c>
      <c r="AC314">
        <v>109.6</v>
      </c>
      <c r="AD314">
        <v>108.7</v>
      </c>
      <c r="AE314">
        <v>111</v>
      </c>
      <c r="AF314">
        <v>108.2</v>
      </c>
      <c r="AG314">
        <v>109.8</v>
      </c>
      <c r="AH314">
        <v>117.4</v>
      </c>
      <c r="AI314" s="11">
        <f t="shared" si="24"/>
        <v>-0.33559705715902655</v>
      </c>
    </row>
    <row r="315" spans="1:35" x14ac:dyDescent="0.25">
      <c r="A315" t="s">
        <v>32</v>
      </c>
      <c r="B315">
        <v>2013</v>
      </c>
      <c r="C315">
        <v>11</v>
      </c>
      <c r="D315" s="13">
        <f t="shared" si="20"/>
        <v>41579</v>
      </c>
      <c r="E315">
        <v>119.8</v>
      </c>
      <c r="F315">
        <v>116.3</v>
      </c>
      <c r="G315">
        <v>122.6</v>
      </c>
      <c r="H315">
        <v>112</v>
      </c>
      <c r="I315">
        <v>103.2</v>
      </c>
      <c r="J315">
        <v>110</v>
      </c>
      <c r="K315">
        <v>192.8</v>
      </c>
      <c r="L315">
        <v>106.3</v>
      </c>
      <c r="M315">
        <v>99.5</v>
      </c>
      <c r="N315">
        <v>110.3</v>
      </c>
      <c r="O315">
        <v>111.8</v>
      </c>
      <c r="P315">
        <v>117.1</v>
      </c>
      <c r="Q315">
        <v>122.9</v>
      </c>
      <c r="R315" s="12">
        <f t="shared" si="21"/>
        <v>3.2653061224490261E-3</v>
      </c>
      <c r="S315">
        <v>114.1</v>
      </c>
      <c r="T315">
        <v>113.5</v>
      </c>
      <c r="U315">
        <v>110.3</v>
      </c>
      <c r="V315">
        <v>113</v>
      </c>
      <c r="W315">
        <v>111.1</v>
      </c>
      <c r="X315">
        <v>110</v>
      </c>
      <c r="Y315" s="12">
        <f t="shared" si="22"/>
        <v>-2.3090586145648264E-2</v>
      </c>
      <c r="Z315">
        <v>110.9</v>
      </c>
      <c r="AA315">
        <v>108.6</v>
      </c>
      <c r="AB315" s="12">
        <f t="shared" si="23"/>
        <v>-1.0027347310847845E-2</v>
      </c>
      <c r="AC315">
        <v>109.5</v>
      </c>
      <c r="AD315">
        <v>108.5</v>
      </c>
      <c r="AE315">
        <v>111.3</v>
      </c>
      <c r="AF315">
        <v>107.9</v>
      </c>
      <c r="AG315">
        <v>109.6</v>
      </c>
      <c r="AH315">
        <v>115</v>
      </c>
      <c r="AI315" s="11">
        <f t="shared" si="24"/>
        <v>-2.0442930153322023E-2</v>
      </c>
    </row>
    <row r="316" spans="1:35" x14ac:dyDescent="0.25">
      <c r="A316" t="s">
        <v>33</v>
      </c>
      <c r="B316">
        <v>2013</v>
      </c>
      <c r="C316">
        <v>11</v>
      </c>
      <c r="D316" s="13">
        <f t="shared" si="20"/>
        <v>41579</v>
      </c>
      <c r="E316">
        <v>118.1</v>
      </c>
      <c r="F316">
        <v>115.4</v>
      </c>
      <c r="G316">
        <v>118.7</v>
      </c>
      <c r="H316">
        <v>112.5</v>
      </c>
      <c r="I316">
        <v>106.8</v>
      </c>
      <c r="J316">
        <v>113.5</v>
      </c>
      <c r="K316">
        <v>183.1</v>
      </c>
      <c r="L316">
        <v>108.2</v>
      </c>
      <c r="M316">
        <v>102.2</v>
      </c>
      <c r="N316">
        <v>109.4</v>
      </c>
      <c r="O316">
        <v>111.8</v>
      </c>
      <c r="P316">
        <v>116.5</v>
      </c>
      <c r="Q316">
        <v>122.6</v>
      </c>
      <c r="R316" s="12">
        <f t="shared" si="21"/>
        <v>-2.4410089503662438E-3</v>
      </c>
      <c r="S316">
        <v>113.1</v>
      </c>
      <c r="T316">
        <v>114.2</v>
      </c>
      <c r="U316">
        <v>111.9</v>
      </c>
      <c r="V316">
        <v>113.8</v>
      </c>
      <c r="W316">
        <v>111.1</v>
      </c>
      <c r="X316">
        <v>111.6</v>
      </c>
      <c r="Y316" s="12">
        <f t="shared" si="22"/>
        <v>1.4545454545454493E-2</v>
      </c>
      <c r="Z316">
        <v>111.1</v>
      </c>
      <c r="AA316">
        <v>109.3</v>
      </c>
      <c r="AB316" s="12">
        <f t="shared" si="23"/>
        <v>6.445672191528572E-3</v>
      </c>
      <c r="AC316">
        <v>109.5</v>
      </c>
      <c r="AD316">
        <v>108.6</v>
      </c>
      <c r="AE316">
        <v>111.2</v>
      </c>
      <c r="AF316">
        <v>108.1</v>
      </c>
      <c r="AG316">
        <v>109.7</v>
      </c>
      <c r="AH316">
        <v>116.3</v>
      </c>
      <c r="AI316" s="11">
        <f t="shared" si="24"/>
        <v>1.1304347826086933E-2</v>
      </c>
    </row>
    <row r="317" spans="1:35" x14ac:dyDescent="0.25">
      <c r="A317" t="s">
        <v>30</v>
      </c>
      <c r="B317">
        <v>2014</v>
      </c>
      <c r="C317">
        <v>11</v>
      </c>
      <c r="D317" s="13">
        <f t="shared" si="20"/>
        <v>41944</v>
      </c>
      <c r="E317">
        <v>122.7</v>
      </c>
      <c r="F317">
        <v>122.6</v>
      </c>
      <c r="G317">
        <v>119.9</v>
      </c>
      <c r="H317">
        <v>124</v>
      </c>
      <c r="I317">
        <v>110.5</v>
      </c>
      <c r="J317">
        <v>128.80000000000001</v>
      </c>
      <c r="K317">
        <v>152</v>
      </c>
      <c r="L317">
        <v>116.2</v>
      </c>
      <c r="M317">
        <v>103.3</v>
      </c>
      <c r="N317">
        <v>115.8</v>
      </c>
      <c r="O317">
        <v>116.8</v>
      </c>
      <c r="P317">
        <v>124.5</v>
      </c>
      <c r="Q317">
        <v>124.9</v>
      </c>
      <c r="R317" s="12">
        <f t="shared" si="21"/>
        <v>1.8760195758564531E-2</v>
      </c>
      <c r="S317">
        <v>120.8</v>
      </c>
      <c r="T317">
        <v>123.3</v>
      </c>
      <c r="U317">
        <v>120.5</v>
      </c>
      <c r="V317">
        <v>122.9</v>
      </c>
      <c r="W317" t="s">
        <v>31</v>
      </c>
      <c r="X317">
        <v>117.3</v>
      </c>
      <c r="Y317" s="12">
        <f t="shared" si="22"/>
        <v>5.1075268817204332E-2</v>
      </c>
      <c r="Z317">
        <v>118.1</v>
      </c>
      <c r="AA317">
        <v>115.9</v>
      </c>
      <c r="AB317" s="12">
        <f t="shared" si="23"/>
        <v>6.038426349496806E-2</v>
      </c>
      <c r="AC317">
        <v>112</v>
      </c>
      <c r="AD317">
        <v>113.3</v>
      </c>
      <c r="AE317">
        <v>117.2</v>
      </c>
      <c r="AF317">
        <v>108.8</v>
      </c>
      <c r="AG317">
        <v>114.1</v>
      </c>
      <c r="AH317">
        <v>121.1</v>
      </c>
      <c r="AI317" s="11">
        <f t="shared" si="24"/>
        <v>4.1272570937231273E-2</v>
      </c>
    </row>
    <row r="318" spans="1:35" x14ac:dyDescent="0.25">
      <c r="A318" t="s">
        <v>32</v>
      </c>
      <c r="B318">
        <v>2014</v>
      </c>
      <c r="C318">
        <v>11</v>
      </c>
      <c r="D318" s="13">
        <f t="shared" si="20"/>
        <v>41944</v>
      </c>
      <c r="E318">
        <v>124.5</v>
      </c>
      <c r="F318">
        <v>125.6</v>
      </c>
      <c r="G318">
        <v>122.7</v>
      </c>
      <c r="H318">
        <v>124.6</v>
      </c>
      <c r="I318">
        <v>103.2</v>
      </c>
      <c r="J318">
        <v>122.2</v>
      </c>
      <c r="K318">
        <v>153.19999999999999</v>
      </c>
      <c r="L318">
        <v>119.3</v>
      </c>
      <c r="M318">
        <v>99.8</v>
      </c>
      <c r="N318">
        <v>124.6</v>
      </c>
      <c r="O318">
        <v>115.8</v>
      </c>
      <c r="P318">
        <v>126.9</v>
      </c>
      <c r="Q318">
        <v>125.4</v>
      </c>
      <c r="R318" s="12">
        <f t="shared" si="21"/>
        <v>4.0032025620496394E-3</v>
      </c>
      <c r="S318">
        <v>125.8</v>
      </c>
      <c r="T318">
        <v>120.3</v>
      </c>
      <c r="U318">
        <v>115.4</v>
      </c>
      <c r="V318">
        <v>119.5</v>
      </c>
      <c r="W318">
        <v>117.1</v>
      </c>
      <c r="X318">
        <v>112.6</v>
      </c>
      <c r="Y318" s="12">
        <f t="shared" si="22"/>
        <v>-4.0068201193520912E-2</v>
      </c>
      <c r="Z318">
        <v>116.4</v>
      </c>
      <c r="AA318">
        <v>113</v>
      </c>
      <c r="AB318" s="12">
        <f t="shared" si="23"/>
        <v>-2.5021570319240773E-2</v>
      </c>
      <c r="AC318">
        <v>109.7</v>
      </c>
      <c r="AD318">
        <v>114</v>
      </c>
      <c r="AE318">
        <v>120.3</v>
      </c>
      <c r="AF318">
        <v>109.6</v>
      </c>
      <c r="AG318">
        <v>113.4</v>
      </c>
      <c r="AH318">
        <v>119</v>
      </c>
      <c r="AI318" s="11">
        <f t="shared" si="24"/>
        <v>-1.7341040462427699E-2</v>
      </c>
    </row>
    <row r="319" spans="1:35" x14ac:dyDescent="0.25">
      <c r="A319" t="s">
        <v>33</v>
      </c>
      <c r="B319">
        <v>2014</v>
      </c>
      <c r="C319">
        <v>11</v>
      </c>
      <c r="D319" s="13">
        <f t="shared" si="20"/>
        <v>41944</v>
      </c>
      <c r="E319">
        <v>123.3</v>
      </c>
      <c r="F319">
        <v>123.7</v>
      </c>
      <c r="G319">
        <v>121</v>
      </c>
      <c r="H319">
        <v>124.2</v>
      </c>
      <c r="I319">
        <v>107.8</v>
      </c>
      <c r="J319">
        <v>125.7</v>
      </c>
      <c r="K319">
        <v>152.4</v>
      </c>
      <c r="L319">
        <v>117.2</v>
      </c>
      <c r="M319">
        <v>102.1</v>
      </c>
      <c r="N319">
        <v>118.7</v>
      </c>
      <c r="O319">
        <v>116.4</v>
      </c>
      <c r="P319">
        <v>125.6</v>
      </c>
      <c r="Q319">
        <v>125.1</v>
      </c>
      <c r="R319" s="12">
        <f t="shared" si="21"/>
        <v>-2.392344497607746E-3</v>
      </c>
      <c r="S319">
        <v>122.1</v>
      </c>
      <c r="T319">
        <v>122.1</v>
      </c>
      <c r="U319">
        <v>118.4</v>
      </c>
      <c r="V319">
        <v>121.6</v>
      </c>
      <c r="W319">
        <v>117.1</v>
      </c>
      <c r="X319">
        <v>115.5</v>
      </c>
      <c r="Y319" s="12">
        <f t="shared" si="22"/>
        <v>2.5754884547069323E-2</v>
      </c>
      <c r="Z319">
        <v>117.3</v>
      </c>
      <c r="AA319">
        <v>114.8</v>
      </c>
      <c r="AB319" s="12">
        <f t="shared" si="23"/>
        <v>1.5929203539822984E-2</v>
      </c>
      <c r="AC319">
        <v>110.8</v>
      </c>
      <c r="AD319">
        <v>113.7</v>
      </c>
      <c r="AE319">
        <v>119</v>
      </c>
      <c r="AF319">
        <v>109.1</v>
      </c>
      <c r="AG319">
        <v>113.8</v>
      </c>
      <c r="AH319">
        <v>120.1</v>
      </c>
      <c r="AI319" s="11">
        <f t="shared" si="24"/>
        <v>9.2436974789915482E-3</v>
      </c>
    </row>
    <row r="320" spans="1:35" x14ac:dyDescent="0.25">
      <c r="A320" t="s">
        <v>30</v>
      </c>
      <c r="B320">
        <v>2015</v>
      </c>
      <c r="C320">
        <v>11</v>
      </c>
      <c r="D320" s="13">
        <f t="shared" si="20"/>
        <v>42309</v>
      </c>
      <c r="E320">
        <v>126.1</v>
      </c>
      <c r="F320">
        <v>130.6</v>
      </c>
      <c r="G320">
        <v>121.7</v>
      </c>
      <c r="H320">
        <v>129.5</v>
      </c>
      <c r="I320">
        <v>117.8</v>
      </c>
      <c r="J320">
        <v>132.1</v>
      </c>
      <c r="K320">
        <v>155.19999999999999</v>
      </c>
      <c r="L320">
        <v>160.80000000000001</v>
      </c>
      <c r="M320">
        <v>94.5</v>
      </c>
      <c r="N320">
        <v>128.30000000000001</v>
      </c>
      <c r="O320">
        <v>123.1</v>
      </c>
      <c r="P320">
        <v>134.19999999999999</v>
      </c>
      <c r="Q320">
        <v>132.4</v>
      </c>
      <c r="R320" s="12">
        <f t="shared" si="21"/>
        <v>5.8353317346123194E-2</v>
      </c>
      <c r="S320">
        <v>132.19999999999999</v>
      </c>
      <c r="T320">
        <v>132.1</v>
      </c>
      <c r="U320">
        <v>128.19999999999999</v>
      </c>
      <c r="V320">
        <v>131.5</v>
      </c>
      <c r="W320" t="s">
        <v>31</v>
      </c>
      <c r="X320">
        <v>125.6</v>
      </c>
      <c r="Y320" s="12">
        <f t="shared" si="22"/>
        <v>8.7445887445887396E-2</v>
      </c>
      <c r="Z320">
        <v>125.6</v>
      </c>
      <c r="AA320">
        <v>122.6</v>
      </c>
      <c r="AB320" s="12">
        <f t="shared" si="23"/>
        <v>6.7944250871080122E-2</v>
      </c>
      <c r="AC320">
        <v>114</v>
      </c>
      <c r="AD320">
        <v>120.9</v>
      </c>
      <c r="AE320">
        <v>125.8</v>
      </c>
      <c r="AF320">
        <v>114.2</v>
      </c>
      <c r="AG320">
        <v>119.6</v>
      </c>
      <c r="AH320">
        <v>128.30000000000001</v>
      </c>
      <c r="AI320" s="11">
        <f t="shared" si="24"/>
        <v>6.8276436303080917E-2</v>
      </c>
    </row>
    <row r="321" spans="1:35" x14ac:dyDescent="0.25">
      <c r="A321" t="s">
        <v>32</v>
      </c>
      <c r="B321">
        <v>2015</v>
      </c>
      <c r="C321">
        <v>11</v>
      </c>
      <c r="D321" s="13">
        <f t="shared" si="20"/>
        <v>42309</v>
      </c>
      <c r="E321">
        <v>124</v>
      </c>
      <c r="F321">
        <v>129.80000000000001</v>
      </c>
      <c r="G321">
        <v>121.5</v>
      </c>
      <c r="H321">
        <v>128.6</v>
      </c>
      <c r="I321">
        <v>110</v>
      </c>
      <c r="J321">
        <v>123.7</v>
      </c>
      <c r="K321">
        <v>164.6</v>
      </c>
      <c r="L321">
        <v>191.6</v>
      </c>
      <c r="M321">
        <v>90.8</v>
      </c>
      <c r="N321">
        <v>137.1</v>
      </c>
      <c r="O321">
        <v>119.8</v>
      </c>
      <c r="P321">
        <v>133.69999999999999</v>
      </c>
      <c r="Q321">
        <v>133.30000000000001</v>
      </c>
      <c r="R321" s="12">
        <f t="shared" si="21"/>
        <v>6.7975830815710393E-3</v>
      </c>
      <c r="S321">
        <v>137.6</v>
      </c>
      <c r="T321">
        <v>125</v>
      </c>
      <c r="U321">
        <v>119.3</v>
      </c>
      <c r="V321">
        <v>124.2</v>
      </c>
      <c r="W321">
        <v>122.9</v>
      </c>
      <c r="X321">
        <v>115.1</v>
      </c>
      <c r="Y321" s="12">
        <f t="shared" si="22"/>
        <v>-8.3598726114649691E-2</v>
      </c>
      <c r="Z321">
        <v>121</v>
      </c>
      <c r="AA321">
        <v>118.1</v>
      </c>
      <c r="AB321" s="12">
        <f t="shared" si="23"/>
        <v>-3.6704730831973897E-2</v>
      </c>
      <c r="AC321">
        <v>109.3</v>
      </c>
      <c r="AD321">
        <v>117.9</v>
      </c>
      <c r="AE321">
        <v>126.6</v>
      </c>
      <c r="AF321">
        <v>113.3</v>
      </c>
      <c r="AG321">
        <v>116.6</v>
      </c>
      <c r="AH321">
        <v>124.6</v>
      </c>
      <c r="AI321" s="11">
        <f t="shared" si="24"/>
        <v>-2.8838659392050013E-2</v>
      </c>
    </row>
    <row r="322" spans="1:35" x14ac:dyDescent="0.25">
      <c r="A322" t="s">
        <v>33</v>
      </c>
      <c r="B322">
        <v>2015</v>
      </c>
      <c r="C322">
        <v>11</v>
      </c>
      <c r="D322" s="13">
        <f t="shared" si="20"/>
        <v>42309</v>
      </c>
      <c r="E322">
        <v>125.4</v>
      </c>
      <c r="F322">
        <v>130.30000000000001</v>
      </c>
      <c r="G322">
        <v>121.6</v>
      </c>
      <c r="H322">
        <v>129.19999999999999</v>
      </c>
      <c r="I322">
        <v>114.9</v>
      </c>
      <c r="J322">
        <v>128.19999999999999</v>
      </c>
      <c r="K322">
        <v>158.4</v>
      </c>
      <c r="L322">
        <v>171.2</v>
      </c>
      <c r="M322">
        <v>93.3</v>
      </c>
      <c r="N322">
        <v>131.19999999999999</v>
      </c>
      <c r="O322">
        <v>121.7</v>
      </c>
      <c r="P322">
        <v>134</v>
      </c>
      <c r="Q322">
        <v>132.69999999999999</v>
      </c>
      <c r="R322" s="12">
        <f t="shared" si="21"/>
        <v>-4.5011252813205007E-3</v>
      </c>
      <c r="S322">
        <v>133.6</v>
      </c>
      <c r="T322">
        <v>129.30000000000001</v>
      </c>
      <c r="U322">
        <v>124.5</v>
      </c>
      <c r="V322">
        <v>128.6</v>
      </c>
      <c r="W322">
        <v>122.9</v>
      </c>
      <c r="X322">
        <v>121.6</v>
      </c>
      <c r="Y322" s="12">
        <f t="shared" si="22"/>
        <v>5.6472632493483929E-2</v>
      </c>
      <c r="Z322">
        <v>123.4</v>
      </c>
      <c r="AA322">
        <v>120.9</v>
      </c>
      <c r="AB322" s="12">
        <f t="shared" si="23"/>
        <v>2.3708721422523383E-2</v>
      </c>
      <c r="AC322">
        <v>111.5</v>
      </c>
      <c r="AD322">
        <v>119.2</v>
      </c>
      <c r="AE322">
        <v>126.3</v>
      </c>
      <c r="AF322">
        <v>113.8</v>
      </c>
      <c r="AG322">
        <v>118.1</v>
      </c>
      <c r="AH322">
        <v>126.6</v>
      </c>
      <c r="AI322" s="11">
        <f t="shared" si="24"/>
        <v>1.605136436597111E-2</v>
      </c>
    </row>
    <row r="323" spans="1:35" x14ac:dyDescent="0.25">
      <c r="A323" t="s">
        <v>30</v>
      </c>
      <c r="B323">
        <v>2016</v>
      </c>
      <c r="C323">
        <v>11</v>
      </c>
      <c r="D323" s="13">
        <f t="shared" ref="D323:D373" si="25">DATE(B323,C323,1)</f>
        <v>42675</v>
      </c>
      <c r="E323">
        <v>132</v>
      </c>
      <c r="F323">
        <v>137.4</v>
      </c>
      <c r="G323">
        <v>130.6</v>
      </c>
      <c r="H323">
        <v>136.19999999999999</v>
      </c>
      <c r="I323">
        <v>121.1</v>
      </c>
      <c r="J323">
        <v>136.9</v>
      </c>
      <c r="K323">
        <v>141.80000000000001</v>
      </c>
      <c r="L323">
        <v>170</v>
      </c>
      <c r="M323">
        <v>113.4</v>
      </c>
      <c r="N323">
        <v>136.80000000000001</v>
      </c>
      <c r="O323">
        <v>128.69999999999999</v>
      </c>
      <c r="P323">
        <v>143.1</v>
      </c>
      <c r="Q323">
        <v>136.6</v>
      </c>
      <c r="R323" s="12">
        <f t="shared" ref="R323:R373" si="26">(Q323-Q322)/Q322</f>
        <v>2.9389600602863646E-2</v>
      </c>
      <c r="S323">
        <v>141.19999999999999</v>
      </c>
      <c r="T323">
        <v>139.9</v>
      </c>
      <c r="U323">
        <v>134.5</v>
      </c>
      <c r="V323">
        <v>139.19999999999999</v>
      </c>
      <c r="W323" t="s">
        <v>31</v>
      </c>
      <c r="X323">
        <v>130.30000000000001</v>
      </c>
      <c r="Y323" s="12">
        <f t="shared" ref="Y323:Y373" si="27">(X323-X322)/X322</f>
        <v>7.1546052631579093E-2</v>
      </c>
      <c r="Z323">
        <v>132.1</v>
      </c>
      <c r="AA323">
        <v>129.1</v>
      </c>
      <c r="AB323" s="12">
        <f t="shared" ref="AB323:AB373" si="28">(AA323-AA322)/AA322</f>
        <v>6.7824648469809665E-2</v>
      </c>
      <c r="AC323">
        <v>118.2</v>
      </c>
      <c r="AD323">
        <v>126.9</v>
      </c>
      <c r="AE323">
        <v>133.69999999999999</v>
      </c>
      <c r="AF323">
        <v>123.5</v>
      </c>
      <c r="AG323">
        <v>126.1</v>
      </c>
      <c r="AH323">
        <v>133.6</v>
      </c>
      <c r="AI323" s="11">
        <f t="shared" si="24"/>
        <v>5.5292259083728278E-2</v>
      </c>
    </row>
    <row r="324" spans="1:35" x14ac:dyDescent="0.25">
      <c r="A324" t="s">
        <v>32</v>
      </c>
      <c r="B324">
        <v>2016</v>
      </c>
      <c r="C324">
        <v>11</v>
      </c>
      <c r="D324" s="13">
        <f t="shared" si="25"/>
        <v>42675</v>
      </c>
      <c r="E324">
        <v>130.19999999999999</v>
      </c>
      <c r="F324">
        <v>138.5</v>
      </c>
      <c r="G324">
        <v>134.1</v>
      </c>
      <c r="H324">
        <v>132.9</v>
      </c>
      <c r="I324">
        <v>112.6</v>
      </c>
      <c r="J324">
        <v>130.80000000000001</v>
      </c>
      <c r="K324">
        <v>142</v>
      </c>
      <c r="L324">
        <v>174.9</v>
      </c>
      <c r="M324">
        <v>115.6</v>
      </c>
      <c r="N324">
        <v>145.4</v>
      </c>
      <c r="O324">
        <v>122.7</v>
      </c>
      <c r="P324">
        <v>140.30000000000001</v>
      </c>
      <c r="Q324">
        <v>135.19999999999999</v>
      </c>
      <c r="R324" s="12">
        <f t="shared" si="26"/>
        <v>-1.0248901903367538E-2</v>
      </c>
      <c r="S324">
        <v>144.30000000000001</v>
      </c>
      <c r="T324">
        <v>129.6</v>
      </c>
      <c r="U324">
        <v>122.1</v>
      </c>
      <c r="V324">
        <v>128.5</v>
      </c>
      <c r="W324">
        <v>129.1</v>
      </c>
      <c r="X324">
        <v>116.2</v>
      </c>
      <c r="Y324" s="12">
        <f t="shared" si="27"/>
        <v>-0.10821181887950888</v>
      </c>
      <c r="Z324">
        <v>124.7</v>
      </c>
      <c r="AA324">
        <v>122.1</v>
      </c>
      <c r="AB324" s="12">
        <f t="shared" si="28"/>
        <v>-5.4221533694810226E-2</v>
      </c>
      <c r="AC324">
        <v>113.4</v>
      </c>
      <c r="AD324">
        <v>121.7</v>
      </c>
      <c r="AE324">
        <v>132.1</v>
      </c>
      <c r="AF324">
        <v>121.3</v>
      </c>
      <c r="AG324">
        <v>121.3</v>
      </c>
      <c r="AH324">
        <v>128.5</v>
      </c>
      <c r="AI324" s="11">
        <f t="shared" ref="AI324:AI373" si="29">(AH324-AH323)/AH323</f>
        <v>-3.8173652694610739E-2</v>
      </c>
    </row>
    <row r="325" spans="1:35" x14ac:dyDescent="0.25">
      <c r="A325" t="s">
        <v>33</v>
      </c>
      <c r="B325">
        <v>2016</v>
      </c>
      <c r="C325">
        <v>11</v>
      </c>
      <c r="D325" s="13">
        <f t="shared" si="25"/>
        <v>42675</v>
      </c>
      <c r="E325">
        <v>131.4</v>
      </c>
      <c r="F325">
        <v>137.80000000000001</v>
      </c>
      <c r="G325">
        <v>132</v>
      </c>
      <c r="H325">
        <v>135</v>
      </c>
      <c r="I325">
        <v>118</v>
      </c>
      <c r="J325">
        <v>134.1</v>
      </c>
      <c r="K325">
        <v>141.9</v>
      </c>
      <c r="L325">
        <v>171.7</v>
      </c>
      <c r="M325">
        <v>114.1</v>
      </c>
      <c r="N325">
        <v>139.69999999999999</v>
      </c>
      <c r="O325">
        <v>126.2</v>
      </c>
      <c r="P325">
        <v>141.80000000000001</v>
      </c>
      <c r="Q325">
        <v>136.1</v>
      </c>
      <c r="R325" s="12">
        <f t="shared" si="26"/>
        <v>6.6568047337278533E-3</v>
      </c>
      <c r="S325">
        <v>142</v>
      </c>
      <c r="T325">
        <v>135.80000000000001</v>
      </c>
      <c r="U325">
        <v>129.30000000000001</v>
      </c>
      <c r="V325">
        <v>135</v>
      </c>
      <c r="W325">
        <v>129.1</v>
      </c>
      <c r="X325">
        <v>125</v>
      </c>
      <c r="Y325" s="12">
        <f t="shared" si="27"/>
        <v>7.5731497418244378E-2</v>
      </c>
      <c r="Z325">
        <v>128.6</v>
      </c>
      <c r="AA325">
        <v>126.4</v>
      </c>
      <c r="AB325" s="12">
        <f t="shared" si="28"/>
        <v>3.5217035217035314E-2</v>
      </c>
      <c r="AC325">
        <v>115.7</v>
      </c>
      <c r="AD325">
        <v>124</v>
      </c>
      <c r="AE325">
        <v>132.80000000000001</v>
      </c>
      <c r="AF325">
        <v>122.6</v>
      </c>
      <c r="AG325">
        <v>123.8</v>
      </c>
      <c r="AH325">
        <v>131.19999999999999</v>
      </c>
      <c r="AI325" s="11">
        <f t="shared" si="29"/>
        <v>2.1011673151750884E-2</v>
      </c>
    </row>
    <row r="326" spans="1:35" x14ac:dyDescent="0.25">
      <c r="A326" t="s">
        <v>30</v>
      </c>
      <c r="B326">
        <v>2017</v>
      </c>
      <c r="C326">
        <v>11</v>
      </c>
      <c r="D326" s="13">
        <f t="shared" si="25"/>
        <v>43040</v>
      </c>
      <c r="E326">
        <v>136.30000000000001</v>
      </c>
      <c r="F326">
        <v>142.5</v>
      </c>
      <c r="G326">
        <v>140.5</v>
      </c>
      <c r="H326">
        <v>141.5</v>
      </c>
      <c r="I326">
        <v>121.6</v>
      </c>
      <c r="J326">
        <v>147.30000000000001</v>
      </c>
      <c r="K326">
        <v>168</v>
      </c>
      <c r="L326">
        <v>135.80000000000001</v>
      </c>
      <c r="M326">
        <v>122.5</v>
      </c>
      <c r="N326">
        <v>136</v>
      </c>
      <c r="O326">
        <v>131.9</v>
      </c>
      <c r="P326">
        <v>151.4</v>
      </c>
      <c r="Q326">
        <v>142.4</v>
      </c>
      <c r="R326" s="12">
        <f t="shared" si="26"/>
        <v>4.6289493019838437E-2</v>
      </c>
      <c r="S326">
        <v>152.1</v>
      </c>
      <c r="T326">
        <v>148.19999999999999</v>
      </c>
      <c r="U326">
        <v>141.5</v>
      </c>
      <c r="V326">
        <v>147.30000000000001</v>
      </c>
      <c r="W326" t="s">
        <v>31</v>
      </c>
      <c r="X326">
        <v>141.1</v>
      </c>
      <c r="Y326" s="12">
        <f t="shared" si="27"/>
        <v>0.12879999999999994</v>
      </c>
      <c r="Z326">
        <v>139.4</v>
      </c>
      <c r="AA326">
        <v>135.80000000000001</v>
      </c>
      <c r="AB326" s="12">
        <f t="shared" si="28"/>
        <v>7.4367088607594972E-2</v>
      </c>
      <c r="AC326">
        <v>121.6</v>
      </c>
      <c r="AD326">
        <v>133.69999999999999</v>
      </c>
      <c r="AE326">
        <v>141.5</v>
      </c>
      <c r="AF326">
        <v>128.1</v>
      </c>
      <c r="AG326">
        <v>131.69999999999999</v>
      </c>
      <c r="AH326">
        <v>140</v>
      </c>
      <c r="AI326" s="11">
        <f t="shared" si="29"/>
        <v>6.7073170731707404E-2</v>
      </c>
    </row>
    <row r="327" spans="1:35" x14ac:dyDescent="0.25">
      <c r="A327" t="s">
        <v>32</v>
      </c>
      <c r="B327">
        <v>2017</v>
      </c>
      <c r="C327">
        <v>11</v>
      </c>
      <c r="D327" s="13">
        <f t="shared" si="25"/>
        <v>43040</v>
      </c>
      <c r="E327">
        <v>134.30000000000001</v>
      </c>
      <c r="F327">
        <v>142.1</v>
      </c>
      <c r="G327">
        <v>146.69999999999999</v>
      </c>
      <c r="H327">
        <v>139.5</v>
      </c>
      <c r="I327">
        <v>115.2</v>
      </c>
      <c r="J327">
        <v>136.4</v>
      </c>
      <c r="K327">
        <v>185.2</v>
      </c>
      <c r="L327">
        <v>122.2</v>
      </c>
      <c r="M327">
        <v>123.9</v>
      </c>
      <c r="N327">
        <v>138.30000000000001</v>
      </c>
      <c r="O327">
        <v>125.4</v>
      </c>
      <c r="P327">
        <v>146</v>
      </c>
      <c r="Q327">
        <v>141.5</v>
      </c>
      <c r="R327" s="12">
        <f t="shared" si="26"/>
        <v>-6.3202247191011633E-3</v>
      </c>
      <c r="S327">
        <v>156.19999999999999</v>
      </c>
      <c r="T327">
        <v>135</v>
      </c>
      <c r="U327">
        <v>125.4</v>
      </c>
      <c r="V327">
        <v>133.5</v>
      </c>
      <c r="W327">
        <v>138.6</v>
      </c>
      <c r="X327">
        <v>125.7</v>
      </c>
      <c r="Y327" s="12">
        <f t="shared" si="27"/>
        <v>-0.10914245216158747</v>
      </c>
      <c r="Z327">
        <v>128.80000000000001</v>
      </c>
      <c r="AA327">
        <v>127.4</v>
      </c>
      <c r="AB327" s="12">
        <f t="shared" si="28"/>
        <v>-6.185567010309282E-2</v>
      </c>
      <c r="AC327">
        <v>115.3</v>
      </c>
      <c r="AD327">
        <v>125.1</v>
      </c>
      <c r="AE327">
        <v>136.6</v>
      </c>
      <c r="AF327">
        <v>124.9</v>
      </c>
      <c r="AG327">
        <v>124.9</v>
      </c>
      <c r="AH327">
        <v>134.80000000000001</v>
      </c>
      <c r="AI327" s="11">
        <f t="shared" si="29"/>
        <v>-3.7142857142857061E-2</v>
      </c>
    </row>
    <row r="328" spans="1:35" x14ac:dyDescent="0.25">
      <c r="A328" t="s">
        <v>33</v>
      </c>
      <c r="B328">
        <v>2017</v>
      </c>
      <c r="C328">
        <v>11</v>
      </c>
      <c r="D328" s="13">
        <f t="shared" si="25"/>
        <v>43040</v>
      </c>
      <c r="E328">
        <v>135.69999999999999</v>
      </c>
      <c r="F328">
        <v>142.4</v>
      </c>
      <c r="G328">
        <v>142.9</v>
      </c>
      <c r="H328">
        <v>140.80000000000001</v>
      </c>
      <c r="I328">
        <v>119.2</v>
      </c>
      <c r="J328">
        <v>142.19999999999999</v>
      </c>
      <c r="K328">
        <v>173.8</v>
      </c>
      <c r="L328">
        <v>131.19999999999999</v>
      </c>
      <c r="M328">
        <v>123</v>
      </c>
      <c r="N328">
        <v>136.80000000000001</v>
      </c>
      <c r="O328">
        <v>129.19999999999999</v>
      </c>
      <c r="P328">
        <v>148.9</v>
      </c>
      <c r="Q328">
        <v>142.1</v>
      </c>
      <c r="R328" s="12">
        <f t="shared" si="26"/>
        <v>4.2402826855123272E-3</v>
      </c>
      <c r="S328">
        <v>153.19999999999999</v>
      </c>
      <c r="T328">
        <v>143</v>
      </c>
      <c r="U328">
        <v>134.80000000000001</v>
      </c>
      <c r="V328">
        <v>141.80000000000001</v>
      </c>
      <c r="W328">
        <v>138.6</v>
      </c>
      <c r="X328">
        <v>135.30000000000001</v>
      </c>
      <c r="Y328" s="12">
        <f t="shared" si="27"/>
        <v>7.6372315035799596E-2</v>
      </c>
      <c r="Z328">
        <v>134.4</v>
      </c>
      <c r="AA328">
        <v>132.6</v>
      </c>
      <c r="AB328" s="12">
        <f t="shared" si="28"/>
        <v>4.0816326530612151E-2</v>
      </c>
      <c r="AC328">
        <v>118.3</v>
      </c>
      <c r="AD328">
        <v>128.9</v>
      </c>
      <c r="AE328">
        <v>138.6</v>
      </c>
      <c r="AF328">
        <v>126.8</v>
      </c>
      <c r="AG328">
        <v>128.4</v>
      </c>
      <c r="AH328">
        <v>137.6</v>
      </c>
      <c r="AI328" s="11">
        <f t="shared" si="29"/>
        <v>2.0771513353115598E-2</v>
      </c>
    </row>
    <row r="329" spans="1:35" x14ac:dyDescent="0.25">
      <c r="A329" t="s">
        <v>30</v>
      </c>
      <c r="B329">
        <v>2018</v>
      </c>
      <c r="C329">
        <v>11</v>
      </c>
      <c r="D329" s="13">
        <f t="shared" si="25"/>
        <v>43405</v>
      </c>
      <c r="E329">
        <v>137.1</v>
      </c>
      <c r="F329">
        <v>150.80000000000001</v>
      </c>
      <c r="G329">
        <v>136.69999999999999</v>
      </c>
      <c r="H329">
        <v>141.9</v>
      </c>
      <c r="I329">
        <v>122.8</v>
      </c>
      <c r="J329">
        <v>143.9</v>
      </c>
      <c r="K329">
        <v>147.5</v>
      </c>
      <c r="L329">
        <v>121</v>
      </c>
      <c r="M329">
        <v>111.6</v>
      </c>
      <c r="N329">
        <v>140.6</v>
      </c>
      <c r="O329">
        <v>137.5</v>
      </c>
      <c r="P329">
        <v>156.1</v>
      </c>
      <c r="Q329">
        <v>140</v>
      </c>
      <c r="R329" s="12">
        <f t="shared" si="26"/>
        <v>-1.477832512315267E-2</v>
      </c>
      <c r="S329">
        <v>161.9</v>
      </c>
      <c r="T329">
        <v>151.69999999999999</v>
      </c>
      <c r="U329">
        <v>145.5</v>
      </c>
      <c r="V329">
        <v>150.80000000000001</v>
      </c>
      <c r="W329" t="s">
        <v>31</v>
      </c>
      <c r="X329">
        <v>150.30000000000001</v>
      </c>
      <c r="Y329" s="12">
        <f t="shared" si="27"/>
        <v>0.11086474501108647</v>
      </c>
      <c r="Z329">
        <v>148</v>
      </c>
      <c r="AA329">
        <v>145.4</v>
      </c>
      <c r="AB329" s="12">
        <f t="shared" si="28"/>
        <v>9.6530920060331912E-2</v>
      </c>
      <c r="AC329">
        <v>130.30000000000001</v>
      </c>
      <c r="AD329">
        <v>143.1</v>
      </c>
      <c r="AE329">
        <v>150.19999999999999</v>
      </c>
      <c r="AF329">
        <v>133.1</v>
      </c>
      <c r="AG329">
        <v>140.1</v>
      </c>
      <c r="AH329">
        <v>142.4</v>
      </c>
      <c r="AI329" s="11">
        <f t="shared" si="29"/>
        <v>3.4883720930232641E-2</v>
      </c>
    </row>
    <row r="330" spans="1:35" x14ac:dyDescent="0.25">
      <c r="A330" t="s">
        <v>32</v>
      </c>
      <c r="B330">
        <v>2018</v>
      </c>
      <c r="C330">
        <v>11</v>
      </c>
      <c r="D330" s="13">
        <f t="shared" si="25"/>
        <v>43405</v>
      </c>
      <c r="E330">
        <v>138.1</v>
      </c>
      <c r="F330">
        <v>146.30000000000001</v>
      </c>
      <c r="G330">
        <v>137.80000000000001</v>
      </c>
      <c r="H330">
        <v>141.6</v>
      </c>
      <c r="I330">
        <v>118.1</v>
      </c>
      <c r="J330">
        <v>141.5</v>
      </c>
      <c r="K330">
        <v>145.19999999999999</v>
      </c>
      <c r="L330">
        <v>115.3</v>
      </c>
      <c r="M330">
        <v>112.5</v>
      </c>
      <c r="N330">
        <v>141.4</v>
      </c>
      <c r="O330">
        <v>128</v>
      </c>
      <c r="P330">
        <v>152.6</v>
      </c>
      <c r="Q330">
        <v>139.1</v>
      </c>
      <c r="R330" s="12">
        <f t="shared" si="26"/>
        <v>-6.4285714285714692E-3</v>
      </c>
      <c r="S330">
        <v>164.4</v>
      </c>
      <c r="T330">
        <v>142.4</v>
      </c>
      <c r="U330">
        <v>130.19999999999999</v>
      </c>
      <c r="V330">
        <v>140.5</v>
      </c>
      <c r="W330">
        <v>146.9</v>
      </c>
      <c r="X330">
        <v>136.69999999999999</v>
      </c>
      <c r="Y330" s="12">
        <f t="shared" si="27"/>
        <v>-9.0485695276114581E-2</v>
      </c>
      <c r="Z330">
        <v>135.80000000000001</v>
      </c>
      <c r="AA330">
        <v>136.80000000000001</v>
      </c>
      <c r="AB330" s="12">
        <f t="shared" si="28"/>
        <v>-5.9147180192572174E-2</v>
      </c>
      <c r="AC330">
        <v>121.2</v>
      </c>
      <c r="AD330">
        <v>131.30000000000001</v>
      </c>
      <c r="AE330">
        <v>146.1</v>
      </c>
      <c r="AF330">
        <v>130.5</v>
      </c>
      <c r="AG330">
        <v>132.19999999999999</v>
      </c>
      <c r="AH330">
        <v>139</v>
      </c>
      <c r="AI330" s="11">
        <f t="shared" si="29"/>
        <v>-2.387640449438206E-2</v>
      </c>
    </row>
    <row r="331" spans="1:35" x14ac:dyDescent="0.25">
      <c r="A331" t="s">
        <v>33</v>
      </c>
      <c r="B331">
        <v>2018</v>
      </c>
      <c r="C331">
        <v>11</v>
      </c>
      <c r="D331" s="13">
        <f t="shared" si="25"/>
        <v>43405</v>
      </c>
      <c r="E331">
        <v>137.4</v>
      </c>
      <c r="F331">
        <v>149.19999999999999</v>
      </c>
      <c r="G331">
        <v>137.1</v>
      </c>
      <c r="H331">
        <v>141.80000000000001</v>
      </c>
      <c r="I331">
        <v>121.1</v>
      </c>
      <c r="J331">
        <v>142.80000000000001</v>
      </c>
      <c r="K331">
        <v>146.69999999999999</v>
      </c>
      <c r="L331">
        <v>119.1</v>
      </c>
      <c r="M331">
        <v>111.9</v>
      </c>
      <c r="N331">
        <v>140.9</v>
      </c>
      <c r="O331">
        <v>133.5</v>
      </c>
      <c r="P331">
        <v>154.5</v>
      </c>
      <c r="Q331">
        <v>139.69999999999999</v>
      </c>
      <c r="R331" s="12">
        <f t="shared" si="26"/>
        <v>4.3134435657799734E-3</v>
      </c>
      <c r="S331">
        <v>162.6</v>
      </c>
      <c r="T331">
        <v>148</v>
      </c>
      <c r="U331">
        <v>139.1</v>
      </c>
      <c r="V331">
        <v>146.69999999999999</v>
      </c>
      <c r="W331">
        <v>146.9</v>
      </c>
      <c r="X331">
        <v>145.1</v>
      </c>
      <c r="Y331" s="12">
        <f t="shared" si="27"/>
        <v>6.1448427212874954E-2</v>
      </c>
      <c r="Z331">
        <v>142.19999999999999</v>
      </c>
      <c r="AA331">
        <v>142.1</v>
      </c>
      <c r="AB331" s="12">
        <f t="shared" si="28"/>
        <v>3.8742690058479405E-2</v>
      </c>
      <c r="AC331">
        <v>125.5</v>
      </c>
      <c r="AD331">
        <v>136.5</v>
      </c>
      <c r="AE331">
        <v>147.80000000000001</v>
      </c>
      <c r="AF331">
        <v>132</v>
      </c>
      <c r="AG331">
        <v>136.30000000000001</v>
      </c>
      <c r="AH331">
        <v>140.80000000000001</v>
      </c>
      <c r="AI331" s="11">
        <f t="shared" si="29"/>
        <v>1.2949640287769865E-2</v>
      </c>
    </row>
    <row r="332" spans="1:35" x14ac:dyDescent="0.25">
      <c r="A332" t="s">
        <v>30</v>
      </c>
      <c r="B332">
        <v>2019</v>
      </c>
      <c r="C332">
        <v>11</v>
      </c>
      <c r="D332" s="13">
        <f t="shared" si="25"/>
        <v>43770</v>
      </c>
      <c r="E332">
        <v>141.80000000000001</v>
      </c>
      <c r="F332">
        <v>163.69999999999999</v>
      </c>
      <c r="G332">
        <v>143.80000000000001</v>
      </c>
      <c r="H332">
        <v>147.1</v>
      </c>
      <c r="I332">
        <v>126</v>
      </c>
      <c r="J332">
        <v>146.19999999999999</v>
      </c>
      <c r="K332">
        <v>191.4</v>
      </c>
      <c r="L332">
        <v>136.19999999999999</v>
      </c>
      <c r="M332">
        <v>113.8</v>
      </c>
      <c r="N332">
        <v>147.30000000000001</v>
      </c>
      <c r="O332">
        <v>138.69999999999999</v>
      </c>
      <c r="P332">
        <v>157.69999999999999</v>
      </c>
      <c r="Q332">
        <v>150.9</v>
      </c>
      <c r="R332" s="12">
        <f t="shared" si="26"/>
        <v>8.0171796707229903E-2</v>
      </c>
      <c r="S332">
        <v>167.2</v>
      </c>
      <c r="T332">
        <v>152.30000000000001</v>
      </c>
      <c r="U332">
        <v>147</v>
      </c>
      <c r="V332">
        <v>151.5</v>
      </c>
      <c r="W332" t="s">
        <v>31</v>
      </c>
      <c r="X332">
        <v>148.4</v>
      </c>
      <c r="Y332" s="12">
        <f t="shared" si="27"/>
        <v>2.2742935906271616E-2</v>
      </c>
      <c r="Z332">
        <v>150.9</v>
      </c>
      <c r="AA332">
        <v>154.30000000000001</v>
      </c>
      <c r="AB332" s="12">
        <f t="shared" si="28"/>
        <v>8.5855031667839671E-2</v>
      </c>
      <c r="AC332">
        <v>132.1</v>
      </c>
      <c r="AD332">
        <v>149.1</v>
      </c>
      <c r="AE332">
        <v>160.80000000000001</v>
      </c>
      <c r="AF332">
        <v>140.6</v>
      </c>
      <c r="AG332">
        <v>146.1</v>
      </c>
      <c r="AH332">
        <v>149.9</v>
      </c>
      <c r="AI332" s="11">
        <f t="shared" si="29"/>
        <v>6.4630681818181768E-2</v>
      </c>
    </row>
    <row r="333" spans="1:35" x14ac:dyDescent="0.25">
      <c r="A333" t="s">
        <v>32</v>
      </c>
      <c r="B333">
        <v>2019</v>
      </c>
      <c r="C333">
        <v>11</v>
      </c>
      <c r="D333" s="13">
        <f t="shared" si="25"/>
        <v>43770</v>
      </c>
      <c r="E333">
        <v>144.1</v>
      </c>
      <c r="F333">
        <v>162.4</v>
      </c>
      <c r="G333">
        <v>148.4</v>
      </c>
      <c r="H333">
        <v>145.9</v>
      </c>
      <c r="I333">
        <v>121.5</v>
      </c>
      <c r="J333">
        <v>148.80000000000001</v>
      </c>
      <c r="K333">
        <v>215.7</v>
      </c>
      <c r="L333">
        <v>134.6</v>
      </c>
      <c r="M333">
        <v>115</v>
      </c>
      <c r="N333">
        <v>146.30000000000001</v>
      </c>
      <c r="O333">
        <v>130.5</v>
      </c>
      <c r="P333">
        <v>157.19999999999999</v>
      </c>
      <c r="Q333">
        <v>153.6</v>
      </c>
      <c r="R333" s="12">
        <f t="shared" si="26"/>
        <v>1.789264413518879E-2</v>
      </c>
      <c r="S333">
        <v>169.9</v>
      </c>
      <c r="T333">
        <v>146.30000000000001</v>
      </c>
      <c r="U333">
        <v>132.6</v>
      </c>
      <c r="V333">
        <v>144.19999999999999</v>
      </c>
      <c r="W333">
        <v>153.5</v>
      </c>
      <c r="X333">
        <v>132.19999999999999</v>
      </c>
      <c r="Y333" s="12">
        <f t="shared" si="27"/>
        <v>-0.10916442048517531</v>
      </c>
      <c r="Z333">
        <v>139.1</v>
      </c>
      <c r="AA333">
        <v>142.80000000000001</v>
      </c>
      <c r="AB333" s="12">
        <f t="shared" si="28"/>
        <v>-7.4530136098509392E-2</v>
      </c>
      <c r="AC333">
        <v>121.7</v>
      </c>
      <c r="AD333">
        <v>136.69999999999999</v>
      </c>
      <c r="AE333">
        <v>151.80000000000001</v>
      </c>
      <c r="AF333">
        <v>139.80000000000001</v>
      </c>
      <c r="AG333">
        <v>136.30000000000001</v>
      </c>
      <c r="AH333">
        <v>147</v>
      </c>
      <c r="AI333" s="11">
        <f t="shared" si="29"/>
        <v>-1.934623082054707E-2</v>
      </c>
    </row>
    <row r="334" spans="1:35" x14ac:dyDescent="0.25">
      <c r="A334" t="s">
        <v>33</v>
      </c>
      <c r="B334">
        <v>2019</v>
      </c>
      <c r="C334">
        <v>11</v>
      </c>
      <c r="D334" s="13">
        <f t="shared" si="25"/>
        <v>43770</v>
      </c>
      <c r="E334">
        <v>142.5</v>
      </c>
      <c r="F334">
        <v>163.19999999999999</v>
      </c>
      <c r="G334">
        <v>145.6</v>
      </c>
      <c r="H334">
        <v>146.69999999999999</v>
      </c>
      <c r="I334">
        <v>124.3</v>
      </c>
      <c r="J334">
        <v>147.4</v>
      </c>
      <c r="K334">
        <v>199.6</v>
      </c>
      <c r="L334">
        <v>135.69999999999999</v>
      </c>
      <c r="M334">
        <v>114.2</v>
      </c>
      <c r="N334">
        <v>147</v>
      </c>
      <c r="O334">
        <v>135.30000000000001</v>
      </c>
      <c r="P334">
        <v>157.5</v>
      </c>
      <c r="Q334">
        <v>151.9</v>
      </c>
      <c r="R334" s="12">
        <f t="shared" si="26"/>
        <v>-1.1067708333333259E-2</v>
      </c>
      <c r="S334">
        <v>167.9</v>
      </c>
      <c r="T334">
        <v>149.9</v>
      </c>
      <c r="U334">
        <v>141</v>
      </c>
      <c r="V334">
        <v>148.6</v>
      </c>
      <c r="W334">
        <v>153.5</v>
      </c>
      <c r="X334">
        <v>142.30000000000001</v>
      </c>
      <c r="Y334" s="12">
        <f t="shared" si="27"/>
        <v>7.6399394856278544E-2</v>
      </c>
      <c r="Z334">
        <v>145.30000000000001</v>
      </c>
      <c r="AA334">
        <v>149.9</v>
      </c>
      <c r="AB334" s="12">
        <f t="shared" si="28"/>
        <v>4.9719887955182028E-2</v>
      </c>
      <c r="AC334">
        <v>126.6</v>
      </c>
      <c r="AD334">
        <v>142.1</v>
      </c>
      <c r="AE334">
        <v>155.5</v>
      </c>
      <c r="AF334">
        <v>140.30000000000001</v>
      </c>
      <c r="AG334">
        <v>141.30000000000001</v>
      </c>
      <c r="AH334">
        <v>148.6</v>
      </c>
      <c r="AI334" s="11">
        <f t="shared" si="29"/>
        <v>1.088435374149656E-2</v>
      </c>
    </row>
    <row r="335" spans="1:35" x14ac:dyDescent="0.25">
      <c r="A335" t="s">
        <v>30</v>
      </c>
      <c r="B335">
        <v>2020</v>
      </c>
      <c r="C335">
        <v>11</v>
      </c>
      <c r="D335" s="13">
        <f t="shared" si="25"/>
        <v>44136</v>
      </c>
      <c r="E335">
        <v>145.4</v>
      </c>
      <c r="F335">
        <v>188.6</v>
      </c>
      <c r="G335">
        <v>171.6</v>
      </c>
      <c r="H335">
        <v>153.80000000000001</v>
      </c>
      <c r="I335">
        <v>145.4</v>
      </c>
      <c r="J335">
        <v>146.5</v>
      </c>
      <c r="K335">
        <v>222.2</v>
      </c>
      <c r="L335">
        <v>155.9</v>
      </c>
      <c r="M335">
        <v>114.9</v>
      </c>
      <c r="N335">
        <v>162</v>
      </c>
      <c r="O335">
        <v>150</v>
      </c>
      <c r="P335">
        <v>162.69999999999999</v>
      </c>
      <c r="Q335">
        <v>163.4</v>
      </c>
      <c r="R335" s="12">
        <f t="shared" si="26"/>
        <v>7.5707702435813026E-2</v>
      </c>
      <c r="S335">
        <v>183.4</v>
      </c>
      <c r="T335">
        <v>156.30000000000001</v>
      </c>
      <c r="U335">
        <v>151</v>
      </c>
      <c r="V335">
        <v>155.5</v>
      </c>
      <c r="W335" t="s">
        <v>31</v>
      </c>
      <c r="X335">
        <v>147.5</v>
      </c>
      <c r="Y335" s="12">
        <f t="shared" si="27"/>
        <v>3.6542515811665413E-2</v>
      </c>
      <c r="Z335">
        <v>152.80000000000001</v>
      </c>
      <c r="AA335">
        <v>160.4</v>
      </c>
      <c r="AB335" s="12">
        <f t="shared" si="28"/>
        <v>7.0046697798532356E-2</v>
      </c>
      <c r="AC335">
        <v>146.1</v>
      </c>
      <c r="AD335">
        <v>153.6</v>
      </c>
      <c r="AE335">
        <v>161.6</v>
      </c>
      <c r="AF335">
        <v>156.19999999999999</v>
      </c>
      <c r="AG335">
        <v>154.5</v>
      </c>
      <c r="AH335">
        <v>159.80000000000001</v>
      </c>
      <c r="AI335" s="11">
        <f t="shared" si="29"/>
        <v>7.5370121130551929E-2</v>
      </c>
    </row>
    <row r="336" spans="1:35" x14ac:dyDescent="0.25">
      <c r="A336" t="s">
        <v>32</v>
      </c>
      <c r="B336">
        <v>2020</v>
      </c>
      <c r="C336">
        <v>11</v>
      </c>
      <c r="D336" s="13">
        <f t="shared" si="25"/>
        <v>44136</v>
      </c>
      <c r="E336">
        <v>149.69999999999999</v>
      </c>
      <c r="F336">
        <v>195.5</v>
      </c>
      <c r="G336">
        <v>176.9</v>
      </c>
      <c r="H336">
        <v>153.9</v>
      </c>
      <c r="I336">
        <v>138</v>
      </c>
      <c r="J336">
        <v>150.5</v>
      </c>
      <c r="K336">
        <v>245.3</v>
      </c>
      <c r="L336">
        <v>158.69999999999999</v>
      </c>
      <c r="M336">
        <v>117.2</v>
      </c>
      <c r="N336">
        <v>161.4</v>
      </c>
      <c r="O336">
        <v>141.5</v>
      </c>
      <c r="P336">
        <v>165.1</v>
      </c>
      <c r="Q336">
        <v>167</v>
      </c>
      <c r="R336" s="12">
        <f t="shared" si="26"/>
        <v>2.203182374541E-2</v>
      </c>
      <c r="S336">
        <v>188.8</v>
      </c>
      <c r="T336">
        <v>151.1</v>
      </c>
      <c r="U336">
        <v>136.4</v>
      </c>
      <c r="V336">
        <v>148.80000000000001</v>
      </c>
      <c r="W336">
        <v>158</v>
      </c>
      <c r="X336">
        <v>137.30000000000001</v>
      </c>
      <c r="Y336" s="12">
        <f t="shared" si="27"/>
        <v>-6.9152542372881279E-2</v>
      </c>
      <c r="Z336">
        <v>145.1</v>
      </c>
      <c r="AA336">
        <v>152</v>
      </c>
      <c r="AB336" s="12">
        <f t="shared" si="28"/>
        <v>-5.2369077306733201E-2</v>
      </c>
      <c r="AC336">
        <v>135.19999999999999</v>
      </c>
      <c r="AD336">
        <v>144.4</v>
      </c>
      <c r="AE336">
        <v>156.4</v>
      </c>
      <c r="AF336">
        <v>157.9</v>
      </c>
      <c r="AG336">
        <v>146.6</v>
      </c>
      <c r="AH336">
        <v>156.69999999999999</v>
      </c>
      <c r="AI336" s="11">
        <f t="shared" si="29"/>
        <v>-1.9399249061326798E-2</v>
      </c>
    </row>
    <row r="337" spans="1:35" x14ac:dyDescent="0.25">
      <c r="A337" t="s">
        <v>33</v>
      </c>
      <c r="B337">
        <v>2020</v>
      </c>
      <c r="C337">
        <v>11</v>
      </c>
      <c r="D337" s="13">
        <f t="shared" si="25"/>
        <v>44136</v>
      </c>
      <c r="E337">
        <v>146.80000000000001</v>
      </c>
      <c r="F337">
        <v>191</v>
      </c>
      <c r="G337">
        <v>173.6</v>
      </c>
      <c r="H337">
        <v>153.80000000000001</v>
      </c>
      <c r="I337">
        <v>142.69999999999999</v>
      </c>
      <c r="J337">
        <v>148.4</v>
      </c>
      <c r="K337">
        <v>230</v>
      </c>
      <c r="L337">
        <v>156.80000000000001</v>
      </c>
      <c r="M337">
        <v>115.7</v>
      </c>
      <c r="N337">
        <v>161.80000000000001</v>
      </c>
      <c r="O337">
        <v>146.5</v>
      </c>
      <c r="P337">
        <v>163.80000000000001</v>
      </c>
      <c r="Q337">
        <v>164.7</v>
      </c>
      <c r="R337" s="12">
        <f t="shared" si="26"/>
        <v>-1.3772455089820427E-2</v>
      </c>
      <c r="S337">
        <v>184.8</v>
      </c>
      <c r="T337">
        <v>154.30000000000001</v>
      </c>
      <c r="U337">
        <v>144.9</v>
      </c>
      <c r="V337">
        <v>152.80000000000001</v>
      </c>
      <c r="W337">
        <v>158</v>
      </c>
      <c r="X337">
        <v>143.6</v>
      </c>
      <c r="Y337" s="12">
        <f t="shared" si="27"/>
        <v>4.5884923525127332E-2</v>
      </c>
      <c r="Z337">
        <v>149.19999999999999</v>
      </c>
      <c r="AA337">
        <v>157.19999999999999</v>
      </c>
      <c r="AB337" s="12">
        <f t="shared" si="28"/>
        <v>3.42105263157894E-2</v>
      </c>
      <c r="AC337">
        <v>140.4</v>
      </c>
      <c r="AD337">
        <v>148.4</v>
      </c>
      <c r="AE337">
        <v>158.6</v>
      </c>
      <c r="AF337">
        <v>156.9</v>
      </c>
      <c r="AG337">
        <v>150.69999999999999</v>
      </c>
      <c r="AH337">
        <v>158.4</v>
      </c>
      <c r="AI337" s="11">
        <f t="shared" si="29"/>
        <v>1.0848755583918426E-2</v>
      </c>
    </row>
    <row r="338" spans="1:35" x14ac:dyDescent="0.25">
      <c r="A338" t="s">
        <v>30</v>
      </c>
      <c r="B338">
        <v>2021</v>
      </c>
      <c r="C338">
        <v>11</v>
      </c>
      <c r="D338" s="13">
        <f t="shared" si="25"/>
        <v>44501</v>
      </c>
      <c r="E338">
        <v>146.9</v>
      </c>
      <c r="F338">
        <v>199.8</v>
      </c>
      <c r="G338">
        <v>171.5</v>
      </c>
      <c r="H338">
        <v>159.1</v>
      </c>
      <c r="I338">
        <v>198.4</v>
      </c>
      <c r="J338">
        <v>153.19999999999999</v>
      </c>
      <c r="K338">
        <v>183.9</v>
      </c>
      <c r="L338">
        <v>165.4</v>
      </c>
      <c r="M338">
        <v>122.1</v>
      </c>
      <c r="N338">
        <v>170.8</v>
      </c>
      <c r="O338">
        <v>169.1</v>
      </c>
      <c r="P338">
        <v>174.3</v>
      </c>
      <c r="Q338">
        <v>167.5</v>
      </c>
      <c r="R338" s="12">
        <f t="shared" si="26"/>
        <v>1.7000607164541662E-2</v>
      </c>
      <c r="S338">
        <v>191.4</v>
      </c>
      <c r="T338">
        <v>170.4</v>
      </c>
      <c r="U338">
        <v>166</v>
      </c>
      <c r="V338">
        <v>169.8</v>
      </c>
      <c r="W338" t="s">
        <v>31</v>
      </c>
      <c r="X338">
        <v>165.3</v>
      </c>
      <c r="Y338" s="12">
        <f t="shared" si="27"/>
        <v>0.15111420612813384</v>
      </c>
      <c r="Z338">
        <v>162.9</v>
      </c>
      <c r="AA338">
        <v>173.4</v>
      </c>
      <c r="AB338" s="12">
        <f t="shared" si="28"/>
        <v>0.10305343511450393</v>
      </c>
      <c r="AC338">
        <v>158.9</v>
      </c>
      <c r="AD338">
        <v>163.80000000000001</v>
      </c>
      <c r="AE338">
        <v>169.3</v>
      </c>
      <c r="AF338">
        <v>162.4</v>
      </c>
      <c r="AG338">
        <v>165.2</v>
      </c>
      <c r="AH338">
        <v>167.6</v>
      </c>
      <c r="AI338" s="11">
        <f t="shared" si="29"/>
        <v>5.8080808080808004E-2</v>
      </c>
    </row>
    <row r="339" spans="1:35" x14ac:dyDescent="0.25">
      <c r="A339" t="s">
        <v>32</v>
      </c>
      <c r="B339">
        <v>2021</v>
      </c>
      <c r="C339">
        <v>11</v>
      </c>
      <c r="D339" s="13">
        <f t="shared" si="25"/>
        <v>44501</v>
      </c>
      <c r="E339">
        <v>151</v>
      </c>
      <c r="F339">
        <v>204.9</v>
      </c>
      <c r="G339">
        <v>175.4</v>
      </c>
      <c r="H339">
        <v>159.6</v>
      </c>
      <c r="I339">
        <v>175.8</v>
      </c>
      <c r="J339">
        <v>160.30000000000001</v>
      </c>
      <c r="K339">
        <v>229.1</v>
      </c>
      <c r="L339">
        <v>165.1</v>
      </c>
      <c r="M339">
        <v>123.1</v>
      </c>
      <c r="N339">
        <v>167.2</v>
      </c>
      <c r="O339">
        <v>156.1</v>
      </c>
      <c r="P339">
        <v>176.8</v>
      </c>
      <c r="Q339">
        <v>173.5</v>
      </c>
      <c r="R339" s="12">
        <f t="shared" si="26"/>
        <v>3.5820895522388062E-2</v>
      </c>
      <c r="S339">
        <v>197</v>
      </c>
      <c r="T339">
        <v>162.30000000000001</v>
      </c>
      <c r="U339">
        <v>145.30000000000001</v>
      </c>
      <c r="V339">
        <v>159.69999999999999</v>
      </c>
      <c r="W339">
        <v>164.2</v>
      </c>
      <c r="X339">
        <v>161.6</v>
      </c>
      <c r="Y339" s="12">
        <f t="shared" si="27"/>
        <v>-2.238354506957058E-2</v>
      </c>
      <c r="Z339">
        <v>155.19999999999999</v>
      </c>
      <c r="AA339">
        <v>164.2</v>
      </c>
      <c r="AB339" s="12">
        <f t="shared" si="28"/>
        <v>-5.3056516724336887E-2</v>
      </c>
      <c r="AC339">
        <v>151.19999999999999</v>
      </c>
      <c r="AD339">
        <v>156.69999999999999</v>
      </c>
      <c r="AE339">
        <v>160.80000000000001</v>
      </c>
      <c r="AF339">
        <v>161.80000000000001</v>
      </c>
      <c r="AG339">
        <v>157.30000000000001</v>
      </c>
      <c r="AH339">
        <v>165.6</v>
      </c>
      <c r="AI339" s="11">
        <f t="shared" si="29"/>
        <v>-1.1933174224343675E-2</v>
      </c>
    </row>
    <row r="340" spans="1:35" x14ac:dyDescent="0.25">
      <c r="A340" t="s">
        <v>33</v>
      </c>
      <c r="B340">
        <v>2021</v>
      </c>
      <c r="C340">
        <v>11</v>
      </c>
      <c r="D340" s="13">
        <f t="shared" si="25"/>
        <v>44501</v>
      </c>
      <c r="E340">
        <v>148.19999999999999</v>
      </c>
      <c r="F340">
        <v>201.6</v>
      </c>
      <c r="G340">
        <v>173</v>
      </c>
      <c r="H340">
        <v>159.30000000000001</v>
      </c>
      <c r="I340">
        <v>190.1</v>
      </c>
      <c r="J340">
        <v>156.5</v>
      </c>
      <c r="K340">
        <v>199.2</v>
      </c>
      <c r="L340">
        <v>165.3</v>
      </c>
      <c r="M340">
        <v>122.4</v>
      </c>
      <c r="N340">
        <v>169.6</v>
      </c>
      <c r="O340">
        <v>163.69999999999999</v>
      </c>
      <c r="P340">
        <v>175.5</v>
      </c>
      <c r="Q340">
        <v>169.7</v>
      </c>
      <c r="R340" s="12">
        <f t="shared" si="26"/>
        <v>-2.1902017291066347E-2</v>
      </c>
      <c r="S340">
        <v>192.9</v>
      </c>
      <c r="T340">
        <v>167.2</v>
      </c>
      <c r="U340">
        <v>157.4</v>
      </c>
      <c r="V340">
        <v>165.8</v>
      </c>
      <c r="W340">
        <v>164.2</v>
      </c>
      <c r="X340">
        <v>163.9</v>
      </c>
      <c r="Y340" s="12">
        <f t="shared" si="27"/>
        <v>1.4232673267326804E-2</v>
      </c>
      <c r="Z340">
        <v>159.30000000000001</v>
      </c>
      <c r="AA340">
        <v>169.9</v>
      </c>
      <c r="AB340" s="12">
        <f t="shared" si="28"/>
        <v>3.4713763702801569E-2</v>
      </c>
      <c r="AC340">
        <v>154.80000000000001</v>
      </c>
      <c r="AD340">
        <v>159.80000000000001</v>
      </c>
      <c r="AE340">
        <v>164.3</v>
      </c>
      <c r="AF340">
        <v>162.19999999999999</v>
      </c>
      <c r="AG340">
        <v>161.4</v>
      </c>
      <c r="AH340">
        <v>166.7</v>
      </c>
      <c r="AI340" s="11">
        <f t="shared" si="29"/>
        <v>6.6425120772946522E-3</v>
      </c>
    </row>
    <row r="341" spans="1:35" x14ac:dyDescent="0.25">
      <c r="A341" t="s">
        <v>30</v>
      </c>
      <c r="B341">
        <v>2022</v>
      </c>
      <c r="C341">
        <v>11</v>
      </c>
      <c r="D341" s="13">
        <f t="shared" si="25"/>
        <v>44866</v>
      </c>
      <c r="E341">
        <v>166.9</v>
      </c>
      <c r="F341">
        <v>207.2</v>
      </c>
      <c r="G341">
        <v>180.2</v>
      </c>
      <c r="H341">
        <v>172.3</v>
      </c>
      <c r="I341">
        <v>194</v>
      </c>
      <c r="J341">
        <v>159.1</v>
      </c>
      <c r="K341">
        <v>171.6</v>
      </c>
      <c r="L341">
        <v>170.2</v>
      </c>
      <c r="M341">
        <v>121.5</v>
      </c>
      <c r="N341">
        <v>204.8</v>
      </c>
      <c r="O341">
        <v>176.4</v>
      </c>
      <c r="P341">
        <v>186.9</v>
      </c>
      <c r="Q341">
        <v>176.6</v>
      </c>
      <c r="R341" s="12">
        <f t="shared" si="26"/>
        <v>4.0659988214496207E-2</v>
      </c>
      <c r="S341">
        <v>195.5</v>
      </c>
      <c r="T341">
        <v>187.2</v>
      </c>
      <c r="U341">
        <v>185.2</v>
      </c>
      <c r="V341">
        <v>186.9</v>
      </c>
      <c r="W341" t="s">
        <v>31</v>
      </c>
      <c r="X341">
        <v>181.9</v>
      </c>
      <c r="Y341" s="12">
        <f t="shared" si="27"/>
        <v>0.10982306284319707</v>
      </c>
      <c r="Z341">
        <v>175.5</v>
      </c>
      <c r="AA341">
        <v>182.3</v>
      </c>
      <c r="AB341" s="12">
        <f t="shared" si="28"/>
        <v>7.2984108298999442E-2</v>
      </c>
      <c r="AC341">
        <v>167.5</v>
      </c>
      <c r="AD341">
        <v>170.8</v>
      </c>
      <c r="AE341">
        <v>176.9</v>
      </c>
      <c r="AF341">
        <v>173.4</v>
      </c>
      <c r="AG341">
        <v>174.6</v>
      </c>
      <c r="AH341">
        <v>177.8</v>
      </c>
      <c r="AI341" s="11">
        <f t="shared" si="29"/>
        <v>6.6586682663467442E-2</v>
      </c>
    </row>
    <row r="342" spans="1:35" x14ac:dyDescent="0.25">
      <c r="A342" t="s">
        <v>32</v>
      </c>
      <c r="B342">
        <v>2022</v>
      </c>
      <c r="C342">
        <v>11</v>
      </c>
      <c r="D342" s="13">
        <f t="shared" si="25"/>
        <v>44866</v>
      </c>
      <c r="E342">
        <v>168.4</v>
      </c>
      <c r="F342">
        <v>213.4</v>
      </c>
      <c r="G342">
        <v>183.2</v>
      </c>
      <c r="H342">
        <v>172.3</v>
      </c>
      <c r="I342">
        <v>180</v>
      </c>
      <c r="J342">
        <v>162.6</v>
      </c>
      <c r="K342">
        <v>205.5</v>
      </c>
      <c r="L342">
        <v>171</v>
      </c>
      <c r="M342">
        <v>123.4</v>
      </c>
      <c r="N342">
        <v>198.8</v>
      </c>
      <c r="O342">
        <v>162.1</v>
      </c>
      <c r="P342">
        <v>192.4</v>
      </c>
      <c r="Q342">
        <v>181.3</v>
      </c>
      <c r="R342" s="12">
        <f t="shared" si="26"/>
        <v>2.6613816534541434E-2</v>
      </c>
      <c r="S342">
        <v>200.6</v>
      </c>
      <c r="T342">
        <v>176.7</v>
      </c>
      <c r="U342">
        <v>163.5</v>
      </c>
      <c r="V342">
        <v>174.7</v>
      </c>
      <c r="W342">
        <v>171.8</v>
      </c>
      <c r="X342">
        <v>180.3</v>
      </c>
      <c r="Y342" s="12">
        <f t="shared" si="27"/>
        <v>-8.7960417811984298E-3</v>
      </c>
      <c r="Z342">
        <v>166.9</v>
      </c>
      <c r="AA342">
        <v>175.8</v>
      </c>
      <c r="AB342" s="12">
        <f t="shared" si="28"/>
        <v>-3.5655512890839271E-2</v>
      </c>
      <c r="AC342">
        <v>158.9</v>
      </c>
      <c r="AD342">
        <v>166.7</v>
      </c>
      <c r="AE342">
        <v>171.5</v>
      </c>
      <c r="AF342">
        <v>173.8</v>
      </c>
      <c r="AG342">
        <v>167.4</v>
      </c>
      <c r="AH342">
        <v>174.1</v>
      </c>
      <c r="AI342" s="11">
        <f t="shared" si="29"/>
        <v>-2.0809898762654763E-2</v>
      </c>
    </row>
    <row r="343" spans="1:35" x14ac:dyDescent="0.25">
      <c r="A343" t="s">
        <v>33</v>
      </c>
      <c r="B343">
        <v>2022</v>
      </c>
      <c r="C343">
        <v>11</v>
      </c>
      <c r="D343" s="13">
        <f t="shared" si="25"/>
        <v>44866</v>
      </c>
      <c r="E343">
        <v>167.4</v>
      </c>
      <c r="F343">
        <v>209.4</v>
      </c>
      <c r="G343">
        <v>181.4</v>
      </c>
      <c r="H343">
        <v>172.3</v>
      </c>
      <c r="I343">
        <v>188.9</v>
      </c>
      <c r="J343">
        <v>160.69999999999999</v>
      </c>
      <c r="K343">
        <v>183.1</v>
      </c>
      <c r="L343">
        <v>170.5</v>
      </c>
      <c r="M343">
        <v>122.1</v>
      </c>
      <c r="N343">
        <v>202.8</v>
      </c>
      <c r="O343">
        <v>170.4</v>
      </c>
      <c r="P343">
        <v>189.5</v>
      </c>
      <c r="Q343">
        <v>178.3</v>
      </c>
      <c r="R343" s="12">
        <f t="shared" si="26"/>
        <v>-1.6547159404302261E-2</v>
      </c>
      <c r="S343">
        <v>196.9</v>
      </c>
      <c r="T343">
        <v>183.1</v>
      </c>
      <c r="U343">
        <v>176.2</v>
      </c>
      <c r="V343">
        <v>182.1</v>
      </c>
      <c r="W343">
        <v>171.8</v>
      </c>
      <c r="X343">
        <v>181.3</v>
      </c>
      <c r="Y343" s="12">
        <f t="shared" si="27"/>
        <v>5.5463117027176921E-3</v>
      </c>
      <c r="Z343">
        <v>171.4</v>
      </c>
      <c r="AA343">
        <v>179.8</v>
      </c>
      <c r="AB343" s="12">
        <f t="shared" si="28"/>
        <v>2.2753128555176336E-2</v>
      </c>
      <c r="AC343">
        <v>163</v>
      </c>
      <c r="AD343">
        <v>168.5</v>
      </c>
      <c r="AE343">
        <v>173.7</v>
      </c>
      <c r="AF343">
        <v>173.6</v>
      </c>
      <c r="AG343">
        <v>171.1</v>
      </c>
      <c r="AH343">
        <v>176.5</v>
      </c>
      <c r="AI343" s="11">
        <f t="shared" si="29"/>
        <v>1.3785180930499746E-2</v>
      </c>
    </row>
    <row r="344" spans="1:35" x14ac:dyDescent="0.25">
      <c r="A344" t="s">
        <v>30</v>
      </c>
      <c r="B344">
        <v>2013</v>
      </c>
      <c r="C344">
        <v>12</v>
      </c>
      <c r="D344" s="13">
        <f t="shared" si="25"/>
        <v>41609</v>
      </c>
      <c r="E344">
        <v>118.4</v>
      </c>
      <c r="F344">
        <v>115.9</v>
      </c>
      <c r="G344">
        <v>120.4</v>
      </c>
      <c r="H344">
        <v>113.8</v>
      </c>
      <c r="I344">
        <v>109.5</v>
      </c>
      <c r="J344">
        <v>115.5</v>
      </c>
      <c r="K344">
        <v>145.69999999999999</v>
      </c>
      <c r="L344">
        <v>109.5</v>
      </c>
      <c r="M344">
        <v>102.9</v>
      </c>
      <c r="N344">
        <v>109.8</v>
      </c>
      <c r="O344">
        <v>112.1</v>
      </c>
      <c r="P344">
        <v>116.8</v>
      </c>
      <c r="Q344">
        <v>118.7</v>
      </c>
      <c r="R344" s="12">
        <f t="shared" si="26"/>
        <v>-0.33426808749298936</v>
      </c>
      <c r="S344">
        <v>113.6</v>
      </c>
      <c r="T344">
        <v>115.8</v>
      </c>
      <c r="U344">
        <v>114</v>
      </c>
      <c r="V344">
        <v>115.5</v>
      </c>
      <c r="W344" t="s">
        <v>31</v>
      </c>
      <c r="X344">
        <v>112.8</v>
      </c>
      <c r="Y344" s="12">
        <f t="shared" si="27"/>
        <v>-0.37782680639823502</v>
      </c>
      <c r="Z344">
        <v>112.1</v>
      </c>
      <c r="AA344">
        <v>110.1</v>
      </c>
      <c r="AB344" s="12">
        <f t="shared" si="28"/>
        <v>-0.38765294771968861</v>
      </c>
      <c r="AC344">
        <v>109.9</v>
      </c>
      <c r="AD344">
        <v>109.2</v>
      </c>
      <c r="AE344">
        <v>111.6</v>
      </c>
      <c r="AF344">
        <v>108.1</v>
      </c>
      <c r="AG344">
        <v>110.1</v>
      </c>
      <c r="AH344">
        <v>115.5</v>
      </c>
      <c r="AI344" s="11">
        <f t="shared" si="29"/>
        <v>-0.34560906515580736</v>
      </c>
    </row>
    <row r="345" spans="1:35" x14ac:dyDescent="0.25">
      <c r="A345" t="s">
        <v>32</v>
      </c>
      <c r="B345">
        <v>2013</v>
      </c>
      <c r="C345">
        <v>12</v>
      </c>
      <c r="D345" s="13">
        <f t="shared" si="25"/>
        <v>41609</v>
      </c>
      <c r="E345">
        <v>120.5</v>
      </c>
      <c r="F345">
        <v>118.1</v>
      </c>
      <c r="G345">
        <v>128.5</v>
      </c>
      <c r="H345">
        <v>112.8</v>
      </c>
      <c r="I345">
        <v>103.4</v>
      </c>
      <c r="J345">
        <v>110.7</v>
      </c>
      <c r="K345">
        <v>144.80000000000001</v>
      </c>
      <c r="L345">
        <v>107.1</v>
      </c>
      <c r="M345">
        <v>98.6</v>
      </c>
      <c r="N345">
        <v>111.9</v>
      </c>
      <c r="O345">
        <v>112.1</v>
      </c>
      <c r="P345">
        <v>118.1</v>
      </c>
      <c r="Q345">
        <v>117.8</v>
      </c>
      <c r="R345" s="12">
        <f t="shared" si="26"/>
        <v>-7.5821398483572507E-3</v>
      </c>
      <c r="S345">
        <v>115</v>
      </c>
      <c r="T345">
        <v>114.2</v>
      </c>
      <c r="U345">
        <v>110.9</v>
      </c>
      <c r="V345">
        <v>113.7</v>
      </c>
      <c r="W345">
        <v>110.7</v>
      </c>
      <c r="X345">
        <v>110.4</v>
      </c>
      <c r="Y345" s="12">
        <f t="shared" si="27"/>
        <v>-2.1276595744680778E-2</v>
      </c>
      <c r="Z345">
        <v>111.3</v>
      </c>
      <c r="AA345">
        <v>109</v>
      </c>
      <c r="AB345" s="12">
        <f t="shared" si="28"/>
        <v>-9.9909173478655248E-3</v>
      </c>
      <c r="AC345">
        <v>109.7</v>
      </c>
      <c r="AD345">
        <v>108.9</v>
      </c>
      <c r="AE345">
        <v>111.4</v>
      </c>
      <c r="AF345">
        <v>107.7</v>
      </c>
      <c r="AG345">
        <v>109.8</v>
      </c>
      <c r="AH345">
        <v>113.3</v>
      </c>
      <c r="AI345" s="11">
        <f t="shared" si="29"/>
        <v>-1.9047619047619074E-2</v>
      </c>
    </row>
    <row r="346" spans="1:35" x14ac:dyDescent="0.25">
      <c r="A346" t="s">
        <v>33</v>
      </c>
      <c r="B346">
        <v>2013</v>
      </c>
      <c r="C346">
        <v>12</v>
      </c>
      <c r="D346" s="13">
        <f t="shared" si="25"/>
        <v>41609</v>
      </c>
      <c r="E346">
        <v>119.1</v>
      </c>
      <c r="F346">
        <v>116.7</v>
      </c>
      <c r="G346">
        <v>123.5</v>
      </c>
      <c r="H346">
        <v>113.4</v>
      </c>
      <c r="I346">
        <v>107.3</v>
      </c>
      <c r="J346">
        <v>113.3</v>
      </c>
      <c r="K346">
        <v>145.4</v>
      </c>
      <c r="L346">
        <v>108.7</v>
      </c>
      <c r="M346">
        <v>101.5</v>
      </c>
      <c r="N346">
        <v>110.5</v>
      </c>
      <c r="O346">
        <v>112.1</v>
      </c>
      <c r="P346">
        <v>117.4</v>
      </c>
      <c r="Q346">
        <v>118.4</v>
      </c>
      <c r="R346" s="12">
        <f t="shared" si="26"/>
        <v>5.0933786078099196E-3</v>
      </c>
      <c r="S346">
        <v>114</v>
      </c>
      <c r="T346">
        <v>115.2</v>
      </c>
      <c r="U346">
        <v>112.7</v>
      </c>
      <c r="V346">
        <v>114.8</v>
      </c>
      <c r="W346">
        <v>110.7</v>
      </c>
      <c r="X346">
        <v>111.9</v>
      </c>
      <c r="Y346" s="12">
        <f t="shared" si="27"/>
        <v>1.358695652173913E-2</v>
      </c>
      <c r="Z346">
        <v>111.7</v>
      </c>
      <c r="AA346">
        <v>109.7</v>
      </c>
      <c r="AB346" s="12">
        <f t="shared" si="28"/>
        <v>6.4220183486238796E-3</v>
      </c>
      <c r="AC346">
        <v>109.8</v>
      </c>
      <c r="AD346">
        <v>109</v>
      </c>
      <c r="AE346">
        <v>111.5</v>
      </c>
      <c r="AF346">
        <v>107.9</v>
      </c>
      <c r="AG346">
        <v>110</v>
      </c>
      <c r="AH346">
        <v>114.5</v>
      </c>
      <c r="AI346" s="11">
        <f t="shared" si="29"/>
        <v>1.0591350397175665E-2</v>
      </c>
    </row>
    <row r="347" spans="1:35" x14ac:dyDescent="0.25">
      <c r="A347" t="s">
        <v>30</v>
      </c>
      <c r="B347">
        <v>2014</v>
      </c>
      <c r="C347">
        <v>12</v>
      </c>
      <c r="D347" s="13">
        <f t="shared" si="25"/>
        <v>41974</v>
      </c>
      <c r="E347">
        <v>122.4</v>
      </c>
      <c r="F347">
        <v>122.4</v>
      </c>
      <c r="G347">
        <v>121.8</v>
      </c>
      <c r="H347">
        <v>124.2</v>
      </c>
      <c r="I347">
        <v>110.2</v>
      </c>
      <c r="J347">
        <v>128.6</v>
      </c>
      <c r="K347">
        <v>140.30000000000001</v>
      </c>
      <c r="L347">
        <v>116.3</v>
      </c>
      <c r="M347">
        <v>102</v>
      </c>
      <c r="N347">
        <v>116</v>
      </c>
      <c r="O347">
        <v>117.3</v>
      </c>
      <c r="P347">
        <v>124.8</v>
      </c>
      <c r="Q347">
        <v>123.3</v>
      </c>
      <c r="R347" s="12">
        <f t="shared" si="26"/>
        <v>4.1385135135135059E-2</v>
      </c>
      <c r="S347">
        <v>121.7</v>
      </c>
      <c r="T347">
        <v>123.8</v>
      </c>
      <c r="U347">
        <v>120.6</v>
      </c>
      <c r="V347">
        <v>123.3</v>
      </c>
      <c r="W347" t="s">
        <v>31</v>
      </c>
      <c r="X347">
        <v>117.4</v>
      </c>
      <c r="Y347" s="12">
        <f t="shared" si="27"/>
        <v>4.9151027703306524E-2</v>
      </c>
      <c r="Z347">
        <v>118.2</v>
      </c>
      <c r="AA347">
        <v>116.2</v>
      </c>
      <c r="AB347" s="12">
        <f t="shared" si="28"/>
        <v>5.9252506836827708E-2</v>
      </c>
      <c r="AC347">
        <v>111.5</v>
      </c>
      <c r="AD347">
        <v>113.3</v>
      </c>
      <c r="AE347">
        <v>117.7</v>
      </c>
      <c r="AF347">
        <v>109.4</v>
      </c>
      <c r="AG347">
        <v>114.2</v>
      </c>
      <c r="AH347">
        <v>120.3</v>
      </c>
      <c r="AI347" s="11">
        <f t="shared" si="29"/>
        <v>5.0655021834061113E-2</v>
      </c>
    </row>
    <row r="348" spans="1:35" x14ac:dyDescent="0.25">
      <c r="A348" t="s">
        <v>32</v>
      </c>
      <c r="B348">
        <v>2014</v>
      </c>
      <c r="C348">
        <v>12</v>
      </c>
      <c r="D348" s="13">
        <f t="shared" si="25"/>
        <v>41974</v>
      </c>
      <c r="E348">
        <v>124</v>
      </c>
      <c r="F348">
        <v>124.7</v>
      </c>
      <c r="G348">
        <v>126.3</v>
      </c>
      <c r="H348">
        <v>124.9</v>
      </c>
      <c r="I348">
        <v>103</v>
      </c>
      <c r="J348">
        <v>122.3</v>
      </c>
      <c r="K348">
        <v>141</v>
      </c>
      <c r="L348">
        <v>120.1</v>
      </c>
      <c r="M348">
        <v>97.8</v>
      </c>
      <c r="N348">
        <v>125.4</v>
      </c>
      <c r="O348">
        <v>116.1</v>
      </c>
      <c r="P348">
        <v>127.6</v>
      </c>
      <c r="Q348">
        <v>124</v>
      </c>
      <c r="R348" s="12">
        <f t="shared" si="26"/>
        <v>5.6772100567721237E-3</v>
      </c>
      <c r="S348">
        <v>126.4</v>
      </c>
      <c r="T348">
        <v>120.7</v>
      </c>
      <c r="U348">
        <v>115.8</v>
      </c>
      <c r="V348">
        <v>120</v>
      </c>
      <c r="W348">
        <v>116.5</v>
      </c>
      <c r="X348">
        <v>113</v>
      </c>
      <c r="Y348" s="12">
        <f t="shared" si="27"/>
        <v>-3.747870528109034E-2</v>
      </c>
      <c r="Z348">
        <v>116.8</v>
      </c>
      <c r="AA348">
        <v>113.2</v>
      </c>
      <c r="AB348" s="12">
        <f t="shared" si="28"/>
        <v>-2.5817555938037865E-2</v>
      </c>
      <c r="AC348">
        <v>108.8</v>
      </c>
      <c r="AD348">
        <v>114.3</v>
      </c>
      <c r="AE348">
        <v>120.7</v>
      </c>
      <c r="AF348">
        <v>110.4</v>
      </c>
      <c r="AG348">
        <v>113.4</v>
      </c>
      <c r="AH348">
        <v>118.4</v>
      </c>
      <c r="AI348" s="11">
        <f t="shared" si="29"/>
        <v>-1.5793848711554377E-2</v>
      </c>
    </row>
    <row r="349" spans="1:35" x14ac:dyDescent="0.25">
      <c r="A349" t="s">
        <v>33</v>
      </c>
      <c r="B349">
        <v>2014</v>
      </c>
      <c r="C349">
        <v>12</v>
      </c>
      <c r="D349" s="13">
        <f t="shared" si="25"/>
        <v>41974</v>
      </c>
      <c r="E349">
        <v>122.9</v>
      </c>
      <c r="F349">
        <v>123.2</v>
      </c>
      <c r="G349">
        <v>123.5</v>
      </c>
      <c r="H349">
        <v>124.5</v>
      </c>
      <c r="I349">
        <v>107.6</v>
      </c>
      <c r="J349">
        <v>125.7</v>
      </c>
      <c r="K349">
        <v>140.5</v>
      </c>
      <c r="L349">
        <v>117.6</v>
      </c>
      <c r="M349">
        <v>100.6</v>
      </c>
      <c r="N349">
        <v>119.1</v>
      </c>
      <c r="O349">
        <v>116.8</v>
      </c>
      <c r="P349">
        <v>126.1</v>
      </c>
      <c r="Q349">
        <v>123.6</v>
      </c>
      <c r="R349" s="12">
        <f t="shared" si="26"/>
        <v>-3.2258064516129492E-3</v>
      </c>
      <c r="S349">
        <v>123</v>
      </c>
      <c r="T349">
        <v>122.6</v>
      </c>
      <c r="U349">
        <v>118.6</v>
      </c>
      <c r="V349">
        <v>122</v>
      </c>
      <c r="W349">
        <v>116.5</v>
      </c>
      <c r="X349">
        <v>115.7</v>
      </c>
      <c r="Y349" s="12">
        <f t="shared" si="27"/>
        <v>2.3893805309734537E-2</v>
      </c>
      <c r="Z349">
        <v>117.5</v>
      </c>
      <c r="AA349">
        <v>115.1</v>
      </c>
      <c r="AB349" s="12">
        <f t="shared" si="28"/>
        <v>1.6784452296819713E-2</v>
      </c>
      <c r="AC349">
        <v>110.1</v>
      </c>
      <c r="AD349">
        <v>113.9</v>
      </c>
      <c r="AE349">
        <v>119.5</v>
      </c>
      <c r="AF349">
        <v>109.8</v>
      </c>
      <c r="AG349">
        <v>113.8</v>
      </c>
      <c r="AH349">
        <v>119.4</v>
      </c>
      <c r="AI349" s="11">
        <f t="shared" si="29"/>
        <v>8.4459459459459447E-3</v>
      </c>
    </row>
    <row r="350" spans="1:35" x14ac:dyDescent="0.25">
      <c r="A350" t="s">
        <v>30</v>
      </c>
      <c r="B350">
        <v>2015</v>
      </c>
      <c r="C350">
        <v>12</v>
      </c>
      <c r="D350" s="13">
        <f t="shared" si="25"/>
        <v>42339</v>
      </c>
      <c r="E350">
        <v>126.3</v>
      </c>
      <c r="F350">
        <v>131.30000000000001</v>
      </c>
      <c r="G350">
        <v>123.3</v>
      </c>
      <c r="H350">
        <v>129.80000000000001</v>
      </c>
      <c r="I350">
        <v>118.3</v>
      </c>
      <c r="J350">
        <v>131.6</v>
      </c>
      <c r="K350">
        <v>145.5</v>
      </c>
      <c r="L350">
        <v>162.1</v>
      </c>
      <c r="M350">
        <v>95.4</v>
      </c>
      <c r="N350">
        <v>128.9</v>
      </c>
      <c r="O350">
        <v>123.3</v>
      </c>
      <c r="P350">
        <v>135.1</v>
      </c>
      <c r="Q350">
        <v>131.4</v>
      </c>
      <c r="R350" s="12">
        <f t="shared" si="26"/>
        <v>6.3106796116504951E-2</v>
      </c>
      <c r="S350">
        <v>133.1</v>
      </c>
      <c r="T350">
        <v>132.5</v>
      </c>
      <c r="U350">
        <v>128.5</v>
      </c>
      <c r="V350">
        <v>131.9</v>
      </c>
      <c r="W350" t="s">
        <v>31</v>
      </c>
      <c r="X350">
        <v>125.7</v>
      </c>
      <c r="Y350" s="12">
        <f t="shared" si="27"/>
        <v>8.6430423509075191E-2</v>
      </c>
      <c r="Z350">
        <v>126</v>
      </c>
      <c r="AA350">
        <v>123.1</v>
      </c>
      <c r="AB350" s="12">
        <f t="shared" si="28"/>
        <v>6.9504778453518684E-2</v>
      </c>
      <c r="AC350">
        <v>114</v>
      </c>
      <c r="AD350">
        <v>121.6</v>
      </c>
      <c r="AE350">
        <v>125.6</v>
      </c>
      <c r="AF350">
        <v>114.1</v>
      </c>
      <c r="AG350">
        <v>119.8</v>
      </c>
      <c r="AH350">
        <v>127.9</v>
      </c>
      <c r="AI350" s="11">
        <f t="shared" si="29"/>
        <v>7.1189279731993294E-2</v>
      </c>
    </row>
    <row r="351" spans="1:35" x14ac:dyDescent="0.25">
      <c r="A351" t="s">
        <v>32</v>
      </c>
      <c r="B351">
        <v>2015</v>
      </c>
      <c r="C351">
        <v>12</v>
      </c>
      <c r="D351" s="13">
        <f t="shared" si="25"/>
        <v>42339</v>
      </c>
      <c r="E351">
        <v>124.3</v>
      </c>
      <c r="F351">
        <v>131.69999999999999</v>
      </c>
      <c r="G351">
        <v>127.1</v>
      </c>
      <c r="H351">
        <v>128.6</v>
      </c>
      <c r="I351">
        <v>110</v>
      </c>
      <c r="J351">
        <v>120.8</v>
      </c>
      <c r="K351">
        <v>149</v>
      </c>
      <c r="L351">
        <v>190.1</v>
      </c>
      <c r="M351">
        <v>92.7</v>
      </c>
      <c r="N351">
        <v>138.6</v>
      </c>
      <c r="O351">
        <v>120.2</v>
      </c>
      <c r="P351">
        <v>134.19999999999999</v>
      </c>
      <c r="Q351">
        <v>131.5</v>
      </c>
      <c r="R351" s="12">
        <f t="shared" si="26"/>
        <v>7.6103500761030677E-4</v>
      </c>
      <c r="S351">
        <v>138.19999999999999</v>
      </c>
      <c r="T351">
        <v>125.4</v>
      </c>
      <c r="U351">
        <v>119.5</v>
      </c>
      <c r="V351">
        <v>124.5</v>
      </c>
      <c r="W351">
        <v>122.4</v>
      </c>
      <c r="X351">
        <v>116</v>
      </c>
      <c r="Y351" s="12">
        <f t="shared" si="27"/>
        <v>-7.7167859984089121E-2</v>
      </c>
      <c r="Z351">
        <v>121</v>
      </c>
      <c r="AA351">
        <v>118.6</v>
      </c>
      <c r="AB351" s="12">
        <f t="shared" si="28"/>
        <v>-3.6555645816409424E-2</v>
      </c>
      <c r="AC351">
        <v>109.3</v>
      </c>
      <c r="AD351">
        <v>118.1</v>
      </c>
      <c r="AE351">
        <v>126.6</v>
      </c>
      <c r="AF351">
        <v>113.2</v>
      </c>
      <c r="AG351">
        <v>116.7</v>
      </c>
      <c r="AH351">
        <v>124</v>
      </c>
      <c r="AI351" s="11">
        <f t="shared" si="29"/>
        <v>-3.0492572322126703E-2</v>
      </c>
    </row>
    <row r="352" spans="1:35" x14ac:dyDescent="0.25">
      <c r="A352" t="s">
        <v>33</v>
      </c>
      <c r="B352">
        <v>2015</v>
      </c>
      <c r="C352">
        <v>12</v>
      </c>
      <c r="D352" s="13">
        <f t="shared" si="25"/>
        <v>42339</v>
      </c>
      <c r="E352">
        <v>125.7</v>
      </c>
      <c r="F352">
        <v>131.4</v>
      </c>
      <c r="G352">
        <v>124.8</v>
      </c>
      <c r="H352">
        <v>129.4</v>
      </c>
      <c r="I352">
        <v>115.3</v>
      </c>
      <c r="J352">
        <v>126.6</v>
      </c>
      <c r="K352">
        <v>146.69999999999999</v>
      </c>
      <c r="L352">
        <v>171.5</v>
      </c>
      <c r="M352">
        <v>94.5</v>
      </c>
      <c r="N352">
        <v>132.1</v>
      </c>
      <c r="O352">
        <v>122</v>
      </c>
      <c r="P352">
        <v>134.69999999999999</v>
      </c>
      <c r="Q352">
        <v>131.4</v>
      </c>
      <c r="R352" s="12">
        <f t="shared" si="26"/>
        <v>-7.6045627376421536E-4</v>
      </c>
      <c r="S352">
        <v>134.5</v>
      </c>
      <c r="T352">
        <v>129.69999999999999</v>
      </c>
      <c r="U352">
        <v>124.8</v>
      </c>
      <c r="V352">
        <v>129</v>
      </c>
      <c r="W352">
        <v>122.4</v>
      </c>
      <c r="X352">
        <v>122</v>
      </c>
      <c r="Y352" s="12">
        <f t="shared" si="27"/>
        <v>5.1724137931034482E-2</v>
      </c>
      <c r="Z352">
        <v>123.6</v>
      </c>
      <c r="AA352">
        <v>121.4</v>
      </c>
      <c r="AB352" s="12">
        <f t="shared" si="28"/>
        <v>2.3608768971332305E-2</v>
      </c>
      <c r="AC352">
        <v>111.5</v>
      </c>
      <c r="AD352">
        <v>119.6</v>
      </c>
      <c r="AE352">
        <v>126.2</v>
      </c>
      <c r="AF352">
        <v>113.7</v>
      </c>
      <c r="AG352">
        <v>118.3</v>
      </c>
      <c r="AH352">
        <v>126.1</v>
      </c>
      <c r="AI352" s="11">
        <f t="shared" si="29"/>
        <v>1.6935483870967695E-2</v>
      </c>
    </row>
    <row r="353" spans="1:35" x14ac:dyDescent="0.25">
      <c r="A353" t="s">
        <v>30</v>
      </c>
      <c r="B353">
        <v>2016</v>
      </c>
      <c r="C353">
        <v>12</v>
      </c>
      <c r="D353" s="13">
        <f t="shared" si="25"/>
        <v>42705</v>
      </c>
      <c r="E353">
        <v>132.6</v>
      </c>
      <c r="F353">
        <v>137.30000000000001</v>
      </c>
      <c r="G353">
        <v>131.6</v>
      </c>
      <c r="H353">
        <v>136.30000000000001</v>
      </c>
      <c r="I353">
        <v>121.6</v>
      </c>
      <c r="J353">
        <v>135.6</v>
      </c>
      <c r="K353">
        <v>127.5</v>
      </c>
      <c r="L353">
        <v>167.9</v>
      </c>
      <c r="M353">
        <v>113.8</v>
      </c>
      <c r="N353">
        <v>137.5</v>
      </c>
      <c r="O353">
        <v>129.1</v>
      </c>
      <c r="P353">
        <v>143.6</v>
      </c>
      <c r="Q353">
        <v>134.69999999999999</v>
      </c>
      <c r="R353" s="12">
        <f t="shared" si="26"/>
        <v>2.5114155251141423E-2</v>
      </c>
      <c r="S353">
        <v>142.4</v>
      </c>
      <c r="T353">
        <v>140.4</v>
      </c>
      <c r="U353">
        <v>135.19999999999999</v>
      </c>
      <c r="V353">
        <v>139.69999999999999</v>
      </c>
      <c r="W353" t="s">
        <v>31</v>
      </c>
      <c r="X353">
        <v>132</v>
      </c>
      <c r="Y353" s="12">
        <f t="shared" si="27"/>
        <v>8.1967213114754092E-2</v>
      </c>
      <c r="Z353">
        <v>132.9</v>
      </c>
      <c r="AA353">
        <v>129.69999999999999</v>
      </c>
      <c r="AB353" s="12">
        <f t="shared" si="28"/>
        <v>6.8369028006589644E-2</v>
      </c>
      <c r="AC353">
        <v>118.6</v>
      </c>
      <c r="AD353">
        <v>127.3</v>
      </c>
      <c r="AE353">
        <v>134.19999999999999</v>
      </c>
      <c r="AF353">
        <v>121.9</v>
      </c>
      <c r="AG353">
        <v>126.3</v>
      </c>
      <c r="AH353">
        <v>132.80000000000001</v>
      </c>
      <c r="AI353" s="11">
        <f t="shared" si="29"/>
        <v>5.3132434575733682E-2</v>
      </c>
    </row>
    <row r="354" spans="1:35" x14ac:dyDescent="0.25">
      <c r="A354" t="s">
        <v>32</v>
      </c>
      <c r="B354">
        <v>2016</v>
      </c>
      <c r="C354">
        <v>12</v>
      </c>
      <c r="D354" s="13">
        <f t="shared" si="25"/>
        <v>42705</v>
      </c>
      <c r="E354">
        <v>131.6</v>
      </c>
      <c r="F354">
        <v>138.19999999999999</v>
      </c>
      <c r="G354">
        <v>134.9</v>
      </c>
      <c r="H354">
        <v>133.1</v>
      </c>
      <c r="I354">
        <v>113.5</v>
      </c>
      <c r="J354">
        <v>129.30000000000001</v>
      </c>
      <c r="K354">
        <v>121.1</v>
      </c>
      <c r="L354">
        <v>170.3</v>
      </c>
      <c r="M354">
        <v>115.5</v>
      </c>
      <c r="N354">
        <v>145.5</v>
      </c>
      <c r="O354">
        <v>123.1</v>
      </c>
      <c r="P354">
        <v>140.9</v>
      </c>
      <c r="Q354">
        <v>132.80000000000001</v>
      </c>
      <c r="R354" s="12">
        <f t="shared" si="26"/>
        <v>-1.4105419450630863E-2</v>
      </c>
      <c r="S354">
        <v>145</v>
      </c>
      <c r="T354">
        <v>130</v>
      </c>
      <c r="U354">
        <v>122.2</v>
      </c>
      <c r="V354">
        <v>128.80000000000001</v>
      </c>
      <c r="W354">
        <v>128.5</v>
      </c>
      <c r="X354">
        <v>117.8</v>
      </c>
      <c r="Y354" s="12">
        <f t="shared" si="27"/>
        <v>-0.1075757575757576</v>
      </c>
      <c r="Z354">
        <v>125</v>
      </c>
      <c r="AA354">
        <v>122.3</v>
      </c>
      <c r="AB354" s="12">
        <f t="shared" si="28"/>
        <v>-5.7054741711642189E-2</v>
      </c>
      <c r="AC354">
        <v>113.7</v>
      </c>
      <c r="AD354">
        <v>121.8</v>
      </c>
      <c r="AE354">
        <v>132.30000000000001</v>
      </c>
      <c r="AF354">
        <v>119.9</v>
      </c>
      <c r="AG354">
        <v>121.4</v>
      </c>
      <c r="AH354">
        <v>127.6</v>
      </c>
      <c r="AI354" s="11">
        <f t="shared" si="29"/>
        <v>-3.9156626506024222E-2</v>
      </c>
    </row>
    <row r="355" spans="1:35" x14ac:dyDescent="0.25">
      <c r="A355" t="s">
        <v>33</v>
      </c>
      <c r="B355">
        <v>2016</v>
      </c>
      <c r="C355">
        <v>12</v>
      </c>
      <c r="D355" s="13">
        <f t="shared" si="25"/>
        <v>42705</v>
      </c>
      <c r="E355">
        <v>132.30000000000001</v>
      </c>
      <c r="F355">
        <v>137.6</v>
      </c>
      <c r="G355">
        <v>132.9</v>
      </c>
      <c r="H355">
        <v>135.1</v>
      </c>
      <c r="I355">
        <v>118.6</v>
      </c>
      <c r="J355">
        <v>132.69999999999999</v>
      </c>
      <c r="K355">
        <v>125.3</v>
      </c>
      <c r="L355">
        <v>168.7</v>
      </c>
      <c r="M355">
        <v>114.4</v>
      </c>
      <c r="N355">
        <v>140.19999999999999</v>
      </c>
      <c r="O355">
        <v>126.6</v>
      </c>
      <c r="P355">
        <v>142.30000000000001</v>
      </c>
      <c r="Q355">
        <v>134</v>
      </c>
      <c r="R355" s="12">
        <f t="shared" si="26"/>
        <v>9.0361445783131659E-3</v>
      </c>
      <c r="S355">
        <v>143.1</v>
      </c>
      <c r="T355">
        <v>136.30000000000001</v>
      </c>
      <c r="U355">
        <v>129.80000000000001</v>
      </c>
      <c r="V355">
        <v>135.4</v>
      </c>
      <c r="W355">
        <v>128.5</v>
      </c>
      <c r="X355">
        <v>126.6</v>
      </c>
      <c r="Y355" s="12">
        <f t="shared" si="27"/>
        <v>7.4702886247877742E-2</v>
      </c>
      <c r="Z355">
        <v>129.19999999999999</v>
      </c>
      <c r="AA355">
        <v>126.9</v>
      </c>
      <c r="AB355" s="12">
        <f t="shared" si="28"/>
        <v>3.7612428454619859E-2</v>
      </c>
      <c r="AC355">
        <v>116</v>
      </c>
      <c r="AD355">
        <v>124.2</v>
      </c>
      <c r="AE355">
        <v>133.1</v>
      </c>
      <c r="AF355">
        <v>121.1</v>
      </c>
      <c r="AG355">
        <v>123.9</v>
      </c>
      <c r="AH355">
        <v>130.4</v>
      </c>
      <c r="AI355" s="11">
        <f t="shared" si="29"/>
        <v>2.1943573667711689E-2</v>
      </c>
    </row>
    <row r="356" spans="1:35" x14ac:dyDescent="0.25">
      <c r="A356" t="s">
        <v>30</v>
      </c>
      <c r="B356">
        <v>2017</v>
      </c>
      <c r="C356">
        <v>12</v>
      </c>
      <c r="D356" s="13">
        <f t="shared" si="25"/>
        <v>43070</v>
      </c>
      <c r="E356">
        <v>136.4</v>
      </c>
      <c r="F356">
        <v>143.69999999999999</v>
      </c>
      <c r="G356">
        <v>144.80000000000001</v>
      </c>
      <c r="H356">
        <v>141.9</v>
      </c>
      <c r="I356">
        <v>123.1</v>
      </c>
      <c r="J356">
        <v>147.19999999999999</v>
      </c>
      <c r="K356">
        <v>161</v>
      </c>
      <c r="L356">
        <v>133.80000000000001</v>
      </c>
      <c r="M356">
        <v>121.9</v>
      </c>
      <c r="N356">
        <v>135.80000000000001</v>
      </c>
      <c r="O356">
        <v>131.1</v>
      </c>
      <c r="P356">
        <v>151.4</v>
      </c>
      <c r="Q356">
        <v>141.5</v>
      </c>
      <c r="R356" s="12">
        <f t="shared" si="26"/>
        <v>5.5970149253731345E-2</v>
      </c>
      <c r="S356">
        <v>153.19999999999999</v>
      </c>
      <c r="T356">
        <v>148</v>
      </c>
      <c r="U356">
        <v>141.9</v>
      </c>
      <c r="V356">
        <v>147.19999999999999</v>
      </c>
      <c r="W356" t="s">
        <v>31</v>
      </c>
      <c r="X356">
        <v>142.6</v>
      </c>
      <c r="Y356" s="12">
        <f t="shared" si="27"/>
        <v>0.12638230647709323</v>
      </c>
      <c r="Z356">
        <v>139.5</v>
      </c>
      <c r="AA356">
        <v>136.1</v>
      </c>
      <c r="AB356" s="12">
        <f t="shared" si="28"/>
        <v>7.2498029944838366E-2</v>
      </c>
      <c r="AC356">
        <v>122</v>
      </c>
      <c r="AD356">
        <v>133.4</v>
      </c>
      <c r="AE356">
        <v>141.1</v>
      </c>
      <c r="AF356">
        <v>127.8</v>
      </c>
      <c r="AG356">
        <v>131.9</v>
      </c>
      <c r="AH356">
        <v>139.80000000000001</v>
      </c>
      <c r="AI356" s="11">
        <f t="shared" si="29"/>
        <v>7.2085889570552189E-2</v>
      </c>
    </row>
    <row r="357" spans="1:35" x14ac:dyDescent="0.25">
      <c r="A357" t="s">
        <v>32</v>
      </c>
      <c r="B357">
        <v>2017</v>
      </c>
      <c r="C357">
        <v>12</v>
      </c>
      <c r="D357" s="13">
        <f t="shared" si="25"/>
        <v>43070</v>
      </c>
      <c r="E357">
        <v>134.4</v>
      </c>
      <c r="F357">
        <v>142.6</v>
      </c>
      <c r="G357">
        <v>145.9</v>
      </c>
      <c r="H357">
        <v>139.5</v>
      </c>
      <c r="I357">
        <v>115.9</v>
      </c>
      <c r="J357">
        <v>135</v>
      </c>
      <c r="K357">
        <v>163.19999999999999</v>
      </c>
      <c r="L357">
        <v>119.8</v>
      </c>
      <c r="M357">
        <v>120.7</v>
      </c>
      <c r="N357">
        <v>139.69999999999999</v>
      </c>
      <c r="O357">
        <v>125.7</v>
      </c>
      <c r="P357">
        <v>146.30000000000001</v>
      </c>
      <c r="Q357">
        <v>138.80000000000001</v>
      </c>
      <c r="R357" s="12">
        <f t="shared" si="26"/>
        <v>-1.9081272084805572E-2</v>
      </c>
      <c r="S357">
        <v>157</v>
      </c>
      <c r="T357">
        <v>135.6</v>
      </c>
      <c r="U357">
        <v>125.6</v>
      </c>
      <c r="V357">
        <v>134</v>
      </c>
      <c r="W357">
        <v>139.1</v>
      </c>
      <c r="X357">
        <v>126.8</v>
      </c>
      <c r="Y357" s="12">
        <f t="shared" si="27"/>
        <v>-0.11079943899018231</v>
      </c>
      <c r="Z357">
        <v>129.30000000000001</v>
      </c>
      <c r="AA357">
        <v>128.19999999999999</v>
      </c>
      <c r="AB357" s="12">
        <f t="shared" si="28"/>
        <v>-5.8045554739162425E-2</v>
      </c>
      <c r="AC357">
        <v>115.3</v>
      </c>
      <c r="AD357">
        <v>125.6</v>
      </c>
      <c r="AE357">
        <v>136.69999999999999</v>
      </c>
      <c r="AF357">
        <v>124.6</v>
      </c>
      <c r="AG357">
        <v>125.1</v>
      </c>
      <c r="AH357">
        <v>134.1</v>
      </c>
      <c r="AI357" s="11">
        <f t="shared" si="29"/>
        <v>-4.0772532188841318E-2</v>
      </c>
    </row>
    <row r="358" spans="1:35" x14ac:dyDescent="0.25">
      <c r="A358" t="s">
        <v>33</v>
      </c>
      <c r="B358">
        <v>2017</v>
      </c>
      <c r="C358">
        <v>12</v>
      </c>
      <c r="D358" s="13">
        <f t="shared" si="25"/>
        <v>43070</v>
      </c>
      <c r="E358">
        <v>135.80000000000001</v>
      </c>
      <c r="F358">
        <v>143.30000000000001</v>
      </c>
      <c r="G358">
        <v>145.19999999999999</v>
      </c>
      <c r="H358">
        <v>141</v>
      </c>
      <c r="I358">
        <v>120.5</v>
      </c>
      <c r="J358">
        <v>141.5</v>
      </c>
      <c r="K358">
        <v>161.69999999999999</v>
      </c>
      <c r="L358">
        <v>129.1</v>
      </c>
      <c r="M358">
        <v>121.5</v>
      </c>
      <c r="N358">
        <v>137.1</v>
      </c>
      <c r="O358">
        <v>128.80000000000001</v>
      </c>
      <c r="P358">
        <v>149</v>
      </c>
      <c r="Q358">
        <v>140.5</v>
      </c>
      <c r="R358" s="12">
        <f t="shared" si="26"/>
        <v>1.2247838616714614E-2</v>
      </c>
      <c r="S358">
        <v>154.19999999999999</v>
      </c>
      <c r="T358">
        <v>143.1</v>
      </c>
      <c r="U358">
        <v>135.1</v>
      </c>
      <c r="V358">
        <v>142</v>
      </c>
      <c r="W358">
        <v>139.1</v>
      </c>
      <c r="X358">
        <v>136.6</v>
      </c>
      <c r="Y358" s="12">
        <f t="shared" si="27"/>
        <v>7.728706624605676E-2</v>
      </c>
      <c r="Z358">
        <v>134.69999999999999</v>
      </c>
      <c r="AA358">
        <v>133.1</v>
      </c>
      <c r="AB358" s="12">
        <f t="shared" si="28"/>
        <v>3.8221528861154493E-2</v>
      </c>
      <c r="AC358">
        <v>118.5</v>
      </c>
      <c r="AD358">
        <v>129</v>
      </c>
      <c r="AE358">
        <v>138.5</v>
      </c>
      <c r="AF358">
        <v>126.5</v>
      </c>
      <c r="AG358">
        <v>128.6</v>
      </c>
      <c r="AH358">
        <v>137.19999999999999</v>
      </c>
      <c r="AI358" s="11">
        <f t="shared" si="29"/>
        <v>2.3117076808351934E-2</v>
      </c>
    </row>
    <row r="359" spans="1:35" x14ac:dyDescent="0.25">
      <c r="A359" t="s">
        <v>30</v>
      </c>
      <c r="B359">
        <v>2018</v>
      </c>
      <c r="C359">
        <v>12</v>
      </c>
      <c r="D359" s="13">
        <f t="shared" si="25"/>
        <v>43435</v>
      </c>
      <c r="E359">
        <v>137.1</v>
      </c>
      <c r="F359">
        <v>151.9</v>
      </c>
      <c r="G359">
        <v>137.4</v>
      </c>
      <c r="H359">
        <v>142.4</v>
      </c>
      <c r="I359">
        <v>124.2</v>
      </c>
      <c r="J359">
        <v>140.19999999999999</v>
      </c>
      <c r="K359">
        <v>136.6</v>
      </c>
      <c r="L359">
        <v>120.9</v>
      </c>
      <c r="M359">
        <v>109.9</v>
      </c>
      <c r="N359">
        <v>140.19999999999999</v>
      </c>
      <c r="O359">
        <v>137.80000000000001</v>
      </c>
      <c r="P359">
        <v>156</v>
      </c>
      <c r="Q359">
        <v>138.5</v>
      </c>
      <c r="R359" s="12">
        <f t="shared" si="26"/>
        <v>-1.4234875444839857E-2</v>
      </c>
      <c r="S359">
        <v>162.4</v>
      </c>
      <c r="T359">
        <v>151.6</v>
      </c>
      <c r="U359">
        <v>145.9</v>
      </c>
      <c r="V359">
        <v>150.80000000000001</v>
      </c>
      <c r="W359" t="s">
        <v>31</v>
      </c>
      <c r="X359">
        <v>149</v>
      </c>
      <c r="Y359" s="12">
        <f t="shared" si="27"/>
        <v>9.0775988286969297E-2</v>
      </c>
      <c r="Z359">
        <v>149.5</v>
      </c>
      <c r="AA359">
        <v>149.6</v>
      </c>
      <c r="AB359" s="12">
        <f t="shared" si="28"/>
        <v>0.12396694214876033</v>
      </c>
      <c r="AC359">
        <v>128.9</v>
      </c>
      <c r="AD359">
        <v>143.30000000000001</v>
      </c>
      <c r="AE359">
        <v>155.1</v>
      </c>
      <c r="AF359">
        <v>133.19999999999999</v>
      </c>
      <c r="AG359">
        <v>141.6</v>
      </c>
      <c r="AH359">
        <v>141.9</v>
      </c>
      <c r="AI359" s="11">
        <f t="shared" si="29"/>
        <v>3.4256559766763978E-2</v>
      </c>
    </row>
    <row r="360" spans="1:35" x14ac:dyDescent="0.25">
      <c r="A360" t="s">
        <v>32</v>
      </c>
      <c r="B360">
        <v>2018</v>
      </c>
      <c r="C360">
        <v>12</v>
      </c>
      <c r="D360" s="13">
        <f t="shared" si="25"/>
        <v>43435</v>
      </c>
      <c r="E360">
        <v>138.5</v>
      </c>
      <c r="F360">
        <v>147.80000000000001</v>
      </c>
      <c r="G360">
        <v>141.1</v>
      </c>
      <c r="H360">
        <v>141.6</v>
      </c>
      <c r="I360">
        <v>118.1</v>
      </c>
      <c r="J360">
        <v>138.5</v>
      </c>
      <c r="K360">
        <v>132.4</v>
      </c>
      <c r="L360">
        <v>117.5</v>
      </c>
      <c r="M360">
        <v>111</v>
      </c>
      <c r="N360">
        <v>141.5</v>
      </c>
      <c r="O360">
        <v>128.1</v>
      </c>
      <c r="P360">
        <v>152.9</v>
      </c>
      <c r="Q360">
        <v>137.6</v>
      </c>
      <c r="R360" s="12">
        <f t="shared" si="26"/>
        <v>-6.4981949458484166E-3</v>
      </c>
      <c r="S360">
        <v>164.6</v>
      </c>
      <c r="T360">
        <v>142.69999999999999</v>
      </c>
      <c r="U360">
        <v>130.30000000000001</v>
      </c>
      <c r="V360">
        <v>140.80000000000001</v>
      </c>
      <c r="W360">
        <v>146.5</v>
      </c>
      <c r="X360">
        <v>132.4</v>
      </c>
      <c r="Y360" s="12">
        <f t="shared" si="27"/>
        <v>-0.11140939597315433</v>
      </c>
      <c r="Z360">
        <v>136.19999999999999</v>
      </c>
      <c r="AA360">
        <v>137.30000000000001</v>
      </c>
      <c r="AB360" s="12">
        <f t="shared" si="28"/>
        <v>-8.221925133689828E-2</v>
      </c>
      <c r="AC360">
        <v>118.8</v>
      </c>
      <c r="AD360">
        <v>131.69999999999999</v>
      </c>
      <c r="AE360">
        <v>146.5</v>
      </c>
      <c r="AF360">
        <v>130.80000000000001</v>
      </c>
      <c r="AG360">
        <v>131.69999999999999</v>
      </c>
      <c r="AH360">
        <v>138</v>
      </c>
      <c r="AI360" s="11">
        <f t="shared" si="29"/>
        <v>-2.7484143763213571E-2</v>
      </c>
    </row>
    <row r="361" spans="1:35" x14ac:dyDescent="0.25">
      <c r="A361" t="s">
        <v>33</v>
      </c>
      <c r="B361">
        <v>2018</v>
      </c>
      <c r="C361">
        <v>12</v>
      </c>
      <c r="D361" s="13">
        <f t="shared" si="25"/>
        <v>43435</v>
      </c>
      <c r="E361">
        <v>137.5</v>
      </c>
      <c r="F361">
        <v>150.5</v>
      </c>
      <c r="G361">
        <v>138.80000000000001</v>
      </c>
      <c r="H361">
        <v>142.1</v>
      </c>
      <c r="I361">
        <v>122</v>
      </c>
      <c r="J361">
        <v>139.4</v>
      </c>
      <c r="K361">
        <v>135.19999999999999</v>
      </c>
      <c r="L361">
        <v>119.8</v>
      </c>
      <c r="M361">
        <v>110.3</v>
      </c>
      <c r="N361">
        <v>140.6</v>
      </c>
      <c r="O361">
        <v>133.80000000000001</v>
      </c>
      <c r="P361">
        <v>154.6</v>
      </c>
      <c r="Q361">
        <v>138.19999999999999</v>
      </c>
      <c r="R361" s="12">
        <f t="shared" si="26"/>
        <v>4.3604651162790289E-3</v>
      </c>
      <c r="S361">
        <v>163</v>
      </c>
      <c r="T361">
        <v>148.1</v>
      </c>
      <c r="U361">
        <v>139.4</v>
      </c>
      <c r="V361">
        <v>146.80000000000001</v>
      </c>
      <c r="W361">
        <v>146.5</v>
      </c>
      <c r="X361">
        <v>142.69999999999999</v>
      </c>
      <c r="Y361" s="12">
        <f t="shared" si="27"/>
        <v>7.7794561933534609E-2</v>
      </c>
      <c r="Z361">
        <v>143.19999999999999</v>
      </c>
      <c r="AA361">
        <v>144.9</v>
      </c>
      <c r="AB361" s="12">
        <f t="shared" si="28"/>
        <v>5.5353241077931492E-2</v>
      </c>
      <c r="AC361">
        <v>123.6</v>
      </c>
      <c r="AD361">
        <v>136.80000000000001</v>
      </c>
      <c r="AE361">
        <v>150.1</v>
      </c>
      <c r="AF361">
        <v>132.19999999999999</v>
      </c>
      <c r="AG361">
        <v>136.80000000000001</v>
      </c>
      <c r="AH361">
        <v>140.1</v>
      </c>
      <c r="AI361" s="11">
        <f t="shared" si="29"/>
        <v>1.5217391304347785E-2</v>
      </c>
    </row>
    <row r="362" spans="1:35" x14ac:dyDescent="0.25">
      <c r="A362" t="s">
        <v>30</v>
      </c>
      <c r="B362">
        <v>2019</v>
      </c>
      <c r="C362">
        <v>12</v>
      </c>
      <c r="D362" s="13">
        <f t="shared" si="25"/>
        <v>43800</v>
      </c>
      <c r="E362">
        <v>142.80000000000001</v>
      </c>
      <c r="F362">
        <v>165.3</v>
      </c>
      <c r="G362">
        <v>149.5</v>
      </c>
      <c r="H362">
        <v>148.69999999999999</v>
      </c>
      <c r="I362">
        <v>127.5</v>
      </c>
      <c r="J362">
        <v>144.30000000000001</v>
      </c>
      <c r="K362">
        <v>209.5</v>
      </c>
      <c r="L362">
        <v>138.80000000000001</v>
      </c>
      <c r="M362">
        <v>113.6</v>
      </c>
      <c r="N362">
        <v>149.1</v>
      </c>
      <c r="O362">
        <v>139.30000000000001</v>
      </c>
      <c r="P362">
        <v>158.30000000000001</v>
      </c>
      <c r="Q362">
        <v>154.30000000000001</v>
      </c>
      <c r="R362" s="12">
        <f t="shared" si="26"/>
        <v>0.11649782923299583</v>
      </c>
      <c r="S362">
        <v>167.8</v>
      </c>
      <c r="T362">
        <v>152.6</v>
      </c>
      <c r="U362">
        <v>147.30000000000001</v>
      </c>
      <c r="V362">
        <v>151.9</v>
      </c>
      <c r="W362" t="s">
        <v>31</v>
      </c>
      <c r="X362">
        <v>149.9</v>
      </c>
      <c r="Y362" s="12">
        <f t="shared" si="27"/>
        <v>5.0455501051156398E-2</v>
      </c>
      <c r="Z362">
        <v>151.19999999999999</v>
      </c>
      <c r="AA362">
        <v>154.80000000000001</v>
      </c>
      <c r="AB362" s="12">
        <f t="shared" si="28"/>
        <v>6.8322981366459659E-2</v>
      </c>
      <c r="AC362">
        <v>135</v>
      </c>
      <c r="AD362">
        <v>149.5</v>
      </c>
      <c r="AE362">
        <v>161.1</v>
      </c>
      <c r="AF362">
        <v>140.6</v>
      </c>
      <c r="AG362">
        <v>147.1</v>
      </c>
      <c r="AH362">
        <v>152.30000000000001</v>
      </c>
      <c r="AI362" s="11">
        <f t="shared" si="29"/>
        <v>8.7080656673804546E-2</v>
      </c>
    </row>
    <row r="363" spans="1:35" x14ac:dyDescent="0.25">
      <c r="A363" t="s">
        <v>32</v>
      </c>
      <c r="B363">
        <v>2019</v>
      </c>
      <c r="C363">
        <v>12</v>
      </c>
      <c r="D363" s="13">
        <f t="shared" si="25"/>
        <v>43800</v>
      </c>
      <c r="E363">
        <v>144.9</v>
      </c>
      <c r="F363">
        <v>164.5</v>
      </c>
      <c r="G363">
        <v>153.69999999999999</v>
      </c>
      <c r="H363">
        <v>147.5</v>
      </c>
      <c r="I363">
        <v>122.7</v>
      </c>
      <c r="J363">
        <v>147.19999999999999</v>
      </c>
      <c r="K363">
        <v>231.5</v>
      </c>
      <c r="L363">
        <v>137.19999999999999</v>
      </c>
      <c r="M363">
        <v>114.7</v>
      </c>
      <c r="N363">
        <v>148</v>
      </c>
      <c r="O363">
        <v>130.80000000000001</v>
      </c>
      <c r="P363">
        <v>157.69999999999999</v>
      </c>
      <c r="Q363">
        <v>156.30000000000001</v>
      </c>
      <c r="R363" s="12">
        <f t="shared" si="26"/>
        <v>1.2961762799740763E-2</v>
      </c>
      <c r="S363">
        <v>170.4</v>
      </c>
      <c r="T363">
        <v>146.80000000000001</v>
      </c>
      <c r="U363">
        <v>132.80000000000001</v>
      </c>
      <c r="V363">
        <v>144.6</v>
      </c>
      <c r="W363">
        <v>152.80000000000001</v>
      </c>
      <c r="X363">
        <v>133.6</v>
      </c>
      <c r="Y363" s="12">
        <f t="shared" si="27"/>
        <v>-0.10873915943962649</v>
      </c>
      <c r="Z363">
        <v>139.80000000000001</v>
      </c>
      <c r="AA363">
        <v>143.19999999999999</v>
      </c>
      <c r="AB363" s="12">
        <f t="shared" si="28"/>
        <v>-7.4935400516796008E-2</v>
      </c>
      <c r="AC363">
        <v>125.2</v>
      </c>
      <c r="AD363">
        <v>136.80000000000001</v>
      </c>
      <c r="AE363">
        <v>151.9</v>
      </c>
      <c r="AF363">
        <v>140.19999999999999</v>
      </c>
      <c r="AG363">
        <v>137.69999999999999</v>
      </c>
      <c r="AH363">
        <v>148.30000000000001</v>
      </c>
      <c r="AI363" s="11">
        <f t="shared" si="29"/>
        <v>-2.6263952724885093E-2</v>
      </c>
    </row>
    <row r="364" spans="1:35" x14ac:dyDescent="0.25">
      <c r="A364" t="s">
        <v>33</v>
      </c>
      <c r="B364">
        <v>2019</v>
      </c>
      <c r="C364">
        <v>12</v>
      </c>
      <c r="D364" s="13">
        <f t="shared" si="25"/>
        <v>43800</v>
      </c>
      <c r="E364">
        <v>143.5</v>
      </c>
      <c r="F364">
        <v>165</v>
      </c>
      <c r="G364">
        <v>151.1</v>
      </c>
      <c r="H364">
        <v>148.30000000000001</v>
      </c>
      <c r="I364">
        <v>125.7</v>
      </c>
      <c r="J364">
        <v>145.69999999999999</v>
      </c>
      <c r="K364">
        <v>217</v>
      </c>
      <c r="L364">
        <v>138.30000000000001</v>
      </c>
      <c r="M364">
        <v>114</v>
      </c>
      <c r="N364">
        <v>148.69999999999999</v>
      </c>
      <c r="O364">
        <v>135.80000000000001</v>
      </c>
      <c r="P364">
        <v>158</v>
      </c>
      <c r="Q364">
        <v>155</v>
      </c>
      <c r="R364" s="12">
        <f t="shared" si="26"/>
        <v>-8.3173384516955304E-3</v>
      </c>
      <c r="S364">
        <v>168.5</v>
      </c>
      <c r="T364">
        <v>150.30000000000001</v>
      </c>
      <c r="U364">
        <v>141.30000000000001</v>
      </c>
      <c r="V364">
        <v>149</v>
      </c>
      <c r="W364">
        <v>152.80000000000001</v>
      </c>
      <c r="X364">
        <v>143.69999999999999</v>
      </c>
      <c r="Y364" s="12">
        <f t="shared" si="27"/>
        <v>7.5598802395209538E-2</v>
      </c>
      <c r="Z364">
        <v>145.80000000000001</v>
      </c>
      <c r="AA364">
        <v>150.4</v>
      </c>
      <c r="AB364" s="12">
        <f t="shared" si="28"/>
        <v>5.0279329608938668E-2</v>
      </c>
      <c r="AC364">
        <v>129.80000000000001</v>
      </c>
      <c r="AD364">
        <v>142.30000000000001</v>
      </c>
      <c r="AE364">
        <v>155.69999999999999</v>
      </c>
      <c r="AF364">
        <v>140.4</v>
      </c>
      <c r="AG364">
        <v>142.5</v>
      </c>
      <c r="AH364">
        <v>150.4</v>
      </c>
      <c r="AI364" s="11">
        <f t="shared" si="29"/>
        <v>1.4160485502360041E-2</v>
      </c>
    </row>
    <row r="365" spans="1:35" x14ac:dyDescent="0.25">
      <c r="A365" t="s">
        <v>30</v>
      </c>
      <c r="B365">
        <v>2020</v>
      </c>
      <c r="C365">
        <v>12</v>
      </c>
      <c r="D365" s="13">
        <f t="shared" si="25"/>
        <v>44166</v>
      </c>
      <c r="E365">
        <v>144.6</v>
      </c>
      <c r="F365">
        <v>188.5</v>
      </c>
      <c r="G365">
        <v>173.4</v>
      </c>
      <c r="H365">
        <v>154</v>
      </c>
      <c r="I365">
        <v>150</v>
      </c>
      <c r="J365">
        <v>145.9</v>
      </c>
      <c r="K365">
        <v>225.2</v>
      </c>
      <c r="L365">
        <v>159.5</v>
      </c>
      <c r="M365">
        <v>114.4</v>
      </c>
      <c r="N365">
        <v>163.5</v>
      </c>
      <c r="O365">
        <v>153.4</v>
      </c>
      <c r="P365">
        <v>163.6</v>
      </c>
      <c r="Q365">
        <v>164.5</v>
      </c>
      <c r="R365" s="12">
        <f t="shared" si="26"/>
        <v>6.1290322580645158E-2</v>
      </c>
      <c r="S365">
        <v>183.6</v>
      </c>
      <c r="T365">
        <v>157</v>
      </c>
      <c r="U365">
        <v>151.6</v>
      </c>
      <c r="V365">
        <v>156.30000000000001</v>
      </c>
      <c r="W365" t="s">
        <v>31</v>
      </c>
      <c r="X365">
        <v>148.69999999999999</v>
      </c>
      <c r="Y365" s="12">
        <f t="shared" si="27"/>
        <v>3.4794711203897009E-2</v>
      </c>
      <c r="Z365">
        <v>153.4</v>
      </c>
      <c r="AA365">
        <v>161.6</v>
      </c>
      <c r="AB365" s="12">
        <f t="shared" si="28"/>
        <v>7.4468085106382906E-2</v>
      </c>
      <c r="AC365">
        <v>146.4</v>
      </c>
      <c r="AD365">
        <v>153.9</v>
      </c>
      <c r="AE365">
        <v>162.9</v>
      </c>
      <c r="AF365">
        <v>156.6</v>
      </c>
      <c r="AG365">
        <v>155.19999999999999</v>
      </c>
      <c r="AH365">
        <v>160.69999999999999</v>
      </c>
      <c r="AI365" s="11">
        <f t="shared" si="29"/>
        <v>6.8484042553191377E-2</v>
      </c>
    </row>
    <row r="366" spans="1:35" x14ac:dyDescent="0.25">
      <c r="A366" t="s">
        <v>32</v>
      </c>
      <c r="B366">
        <v>2020</v>
      </c>
      <c r="C366">
        <v>12</v>
      </c>
      <c r="D366" s="13">
        <f t="shared" si="25"/>
        <v>44166</v>
      </c>
      <c r="E366">
        <v>149</v>
      </c>
      <c r="F366">
        <v>195.7</v>
      </c>
      <c r="G366">
        <v>178.3</v>
      </c>
      <c r="H366">
        <v>154.19999999999999</v>
      </c>
      <c r="I366">
        <v>140.69999999999999</v>
      </c>
      <c r="J366">
        <v>149.69999999999999</v>
      </c>
      <c r="K366">
        <v>240.9</v>
      </c>
      <c r="L366">
        <v>161.5</v>
      </c>
      <c r="M366">
        <v>117.1</v>
      </c>
      <c r="N366">
        <v>161.9</v>
      </c>
      <c r="O366">
        <v>143.30000000000001</v>
      </c>
      <c r="P366">
        <v>166.1</v>
      </c>
      <c r="Q366">
        <v>167</v>
      </c>
      <c r="R366" s="12">
        <f t="shared" si="26"/>
        <v>1.5197568389057751E-2</v>
      </c>
      <c r="S366">
        <v>190.2</v>
      </c>
      <c r="T366">
        <v>151.9</v>
      </c>
      <c r="U366">
        <v>136.69999999999999</v>
      </c>
      <c r="V366">
        <v>149.6</v>
      </c>
      <c r="W366">
        <v>158.4</v>
      </c>
      <c r="X366">
        <v>137.9</v>
      </c>
      <c r="Y366" s="12">
        <f t="shared" si="27"/>
        <v>-7.2629455279085292E-2</v>
      </c>
      <c r="Z366">
        <v>145.5</v>
      </c>
      <c r="AA366">
        <v>152.9</v>
      </c>
      <c r="AB366" s="12">
        <f t="shared" si="28"/>
        <v>-5.3836633663366266E-2</v>
      </c>
      <c r="AC366">
        <v>135.5</v>
      </c>
      <c r="AD366">
        <v>144.30000000000001</v>
      </c>
      <c r="AE366">
        <v>156.9</v>
      </c>
      <c r="AF366">
        <v>157.9</v>
      </c>
      <c r="AG366">
        <v>146.9</v>
      </c>
      <c r="AH366">
        <v>156.9</v>
      </c>
      <c r="AI366" s="11">
        <f t="shared" si="29"/>
        <v>-2.364654635967631E-2</v>
      </c>
    </row>
    <row r="367" spans="1:35" x14ac:dyDescent="0.25">
      <c r="A367" t="s">
        <v>33</v>
      </c>
      <c r="B367">
        <v>2020</v>
      </c>
      <c r="C367">
        <v>12</v>
      </c>
      <c r="D367" s="13">
        <f t="shared" si="25"/>
        <v>44166</v>
      </c>
      <c r="E367">
        <v>146</v>
      </c>
      <c r="F367">
        <v>191</v>
      </c>
      <c r="G367">
        <v>175.3</v>
      </c>
      <c r="H367">
        <v>154.1</v>
      </c>
      <c r="I367">
        <v>146.6</v>
      </c>
      <c r="J367">
        <v>147.69999999999999</v>
      </c>
      <c r="K367">
        <v>230.5</v>
      </c>
      <c r="L367">
        <v>160.19999999999999</v>
      </c>
      <c r="M367">
        <v>115.3</v>
      </c>
      <c r="N367">
        <v>163</v>
      </c>
      <c r="O367">
        <v>149.19999999999999</v>
      </c>
      <c r="P367">
        <v>164.8</v>
      </c>
      <c r="Q367">
        <v>165.4</v>
      </c>
      <c r="R367" s="12">
        <f t="shared" si="26"/>
        <v>-9.5808383233532586E-3</v>
      </c>
      <c r="S367">
        <v>185.4</v>
      </c>
      <c r="T367">
        <v>155</v>
      </c>
      <c r="U367">
        <v>145.4</v>
      </c>
      <c r="V367">
        <v>153.6</v>
      </c>
      <c r="W367">
        <v>158.4</v>
      </c>
      <c r="X367">
        <v>144.6</v>
      </c>
      <c r="Y367" s="12">
        <f t="shared" si="27"/>
        <v>4.8585931834662713E-2</v>
      </c>
      <c r="Z367">
        <v>149.69999999999999</v>
      </c>
      <c r="AA367">
        <v>158.30000000000001</v>
      </c>
      <c r="AB367" s="12">
        <f t="shared" si="28"/>
        <v>3.5317200784826717E-2</v>
      </c>
      <c r="AC367">
        <v>140.69999999999999</v>
      </c>
      <c r="AD367">
        <v>148.5</v>
      </c>
      <c r="AE367">
        <v>159.4</v>
      </c>
      <c r="AF367">
        <v>157.1</v>
      </c>
      <c r="AG367">
        <v>151.19999999999999</v>
      </c>
      <c r="AH367">
        <v>158.9</v>
      </c>
      <c r="AI367" s="11">
        <f t="shared" si="29"/>
        <v>1.2746972594008922E-2</v>
      </c>
    </row>
    <row r="368" spans="1:35" x14ac:dyDescent="0.25">
      <c r="A368" t="s">
        <v>30</v>
      </c>
      <c r="B368">
        <v>2021</v>
      </c>
      <c r="C368">
        <v>12</v>
      </c>
      <c r="D368" s="13">
        <f t="shared" si="25"/>
        <v>44531</v>
      </c>
      <c r="E368">
        <v>147.4</v>
      </c>
      <c r="F368">
        <v>197</v>
      </c>
      <c r="G368">
        <v>176.5</v>
      </c>
      <c r="H368">
        <v>159.80000000000001</v>
      </c>
      <c r="I368">
        <v>195.8</v>
      </c>
      <c r="J368">
        <v>152</v>
      </c>
      <c r="K368">
        <v>172.3</v>
      </c>
      <c r="L368">
        <v>164.5</v>
      </c>
      <c r="M368">
        <v>120.6</v>
      </c>
      <c r="N368">
        <v>171.7</v>
      </c>
      <c r="O368">
        <v>169.7</v>
      </c>
      <c r="P368">
        <v>175.1</v>
      </c>
      <c r="Q368">
        <v>165.8</v>
      </c>
      <c r="R368" s="12">
        <f t="shared" si="26"/>
        <v>2.418379685610675E-3</v>
      </c>
      <c r="S368">
        <v>190.8</v>
      </c>
      <c r="T368">
        <v>171.8</v>
      </c>
      <c r="U368">
        <v>167.3</v>
      </c>
      <c r="V368">
        <v>171.2</v>
      </c>
      <c r="W368" t="s">
        <v>31</v>
      </c>
      <c r="X368">
        <v>165.6</v>
      </c>
      <c r="Y368" s="12">
        <f t="shared" si="27"/>
        <v>0.14522821576763487</v>
      </c>
      <c r="Z368">
        <v>163.9</v>
      </c>
      <c r="AA368">
        <v>174</v>
      </c>
      <c r="AB368" s="12">
        <f t="shared" si="28"/>
        <v>9.9178774478837578E-2</v>
      </c>
      <c r="AC368">
        <v>160.1</v>
      </c>
      <c r="AD368">
        <v>164.5</v>
      </c>
      <c r="AE368">
        <v>169.7</v>
      </c>
      <c r="AF368">
        <v>162.80000000000001</v>
      </c>
      <c r="AG368">
        <v>166</v>
      </c>
      <c r="AH368">
        <v>167</v>
      </c>
      <c r="AI368" s="11">
        <f t="shared" si="29"/>
        <v>5.0975456261799834E-2</v>
      </c>
    </row>
    <row r="369" spans="1:35" x14ac:dyDescent="0.25">
      <c r="A369" t="s">
        <v>32</v>
      </c>
      <c r="B369">
        <v>2021</v>
      </c>
      <c r="C369">
        <v>12</v>
      </c>
      <c r="D369" s="13">
        <f t="shared" si="25"/>
        <v>44531</v>
      </c>
      <c r="E369">
        <v>151.6</v>
      </c>
      <c r="F369">
        <v>202.2</v>
      </c>
      <c r="G369">
        <v>180</v>
      </c>
      <c r="H369">
        <v>160</v>
      </c>
      <c r="I369">
        <v>173.5</v>
      </c>
      <c r="J369">
        <v>158.30000000000001</v>
      </c>
      <c r="K369">
        <v>219.5</v>
      </c>
      <c r="L369">
        <v>164.2</v>
      </c>
      <c r="M369">
        <v>121.9</v>
      </c>
      <c r="N369">
        <v>168.2</v>
      </c>
      <c r="O369">
        <v>156.5</v>
      </c>
      <c r="P369">
        <v>178.2</v>
      </c>
      <c r="Q369">
        <v>172.2</v>
      </c>
      <c r="R369" s="12">
        <f t="shared" si="26"/>
        <v>3.8600723763570426E-2</v>
      </c>
      <c r="S369">
        <v>196.8</v>
      </c>
      <c r="T369">
        <v>163.30000000000001</v>
      </c>
      <c r="U369">
        <v>146.69999999999999</v>
      </c>
      <c r="V369">
        <v>160.69999999999999</v>
      </c>
      <c r="W369">
        <v>163.4</v>
      </c>
      <c r="X369">
        <v>161.69999999999999</v>
      </c>
      <c r="Y369" s="12">
        <f t="shared" si="27"/>
        <v>-2.3550724637681195E-2</v>
      </c>
      <c r="Z369">
        <v>156</v>
      </c>
      <c r="AA369">
        <v>165.1</v>
      </c>
      <c r="AB369" s="12">
        <f t="shared" si="28"/>
        <v>-5.1149425287356352E-2</v>
      </c>
      <c r="AC369">
        <v>151.80000000000001</v>
      </c>
      <c r="AD369">
        <v>157.6</v>
      </c>
      <c r="AE369">
        <v>160.6</v>
      </c>
      <c r="AF369">
        <v>162.4</v>
      </c>
      <c r="AG369">
        <v>157.80000000000001</v>
      </c>
      <c r="AH369">
        <v>165.2</v>
      </c>
      <c r="AI369" s="11">
        <f t="shared" si="29"/>
        <v>-1.0778443113772523E-2</v>
      </c>
    </row>
    <row r="370" spans="1:35" x14ac:dyDescent="0.25">
      <c r="A370" t="s">
        <v>33</v>
      </c>
      <c r="B370">
        <v>2021</v>
      </c>
      <c r="C370">
        <v>12</v>
      </c>
      <c r="D370" s="13">
        <f t="shared" si="25"/>
        <v>44531</v>
      </c>
      <c r="E370">
        <v>148.69999999999999</v>
      </c>
      <c r="F370">
        <v>198.8</v>
      </c>
      <c r="G370">
        <v>177.9</v>
      </c>
      <c r="H370">
        <v>159.9</v>
      </c>
      <c r="I370">
        <v>187.6</v>
      </c>
      <c r="J370">
        <v>154.9</v>
      </c>
      <c r="K370">
        <v>188.3</v>
      </c>
      <c r="L370">
        <v>164.4</v>
      </c>
      <c r="M370">
        <v>121</v>
      </c>
      <c r="N370">
        <v>170.5</v>
      </c>
      <c r="O370">
        <v>164.2</v>
      </c>
      <c r="P370">
        <v>176.5</v>
      </c>
      <c r="Q370">
        <v>168.2</v>
      </c>
      <c r="R370" s="12">
        <f t="shared" si="26"/>
        <v>-2.3228803716608595E-2</v>
      </c>
      <c r="S370">
        <v>192.4</v>
      </c>
      <c r="T370">
        <v>168.5</v>
      </c>
      <c r="U370">
        <v>158.69999999999999</v>
      </c>
      <c r="V370">
        <v>167</v>
      </c>
      <c r="W370">
        <v>163.4</v>
      </c>
      <c r="X370">
        <v>164.1</v>
      </c>
      <c r="Y370" s="12">
        <f t="shared" si="27"/>
        <v>1.4842300556586308E-2</v>
      </c>
      <c r="Z370">
        <v>160.19999999999999</v>
      </c>
      <c r="AA370">
        <v>170.6</v>
      </c>
      <c r="AB370" s="12">
        <f t="shared" si="28"/>
        <v>3.3313143549364023E-2</v>
      </c>
      <c r="AC370">
        <v>155.69999999999999</v>
      </c>
      <c r="AD370">
        <v>160.6</v>
      </c>
      <c r="AE370">
        <v>164.4</v>
      </c>
      <c r="AF370">
        <v>162.6</v>
      </c>
      <c r="AG370">
        <v>162</v>
      </c>
      <c r="AH370">
        <v>166.2</v>
      </c>
      <c r="AI370" s="11">
        <f t="shared" si="29"/>
        <v>6.0532687651331726E-3</v>
      </c>
    </row>
    <row r="371" spans="1:35" x14ac:dyDescent="0.25">
      <c r="A371" t="s">
        <v>30</v>
      </c>
      <c r="B371">
        <v>2022</v>
      </c>
      <c r="C371">
        <v>12</v>
      </c>
      <c r="D371" s="13">
        <f t="shared" si="25"/>
        <v>44896</v>
      </c>
      <c r="E371">
        <v>168.8</v>
      </c>
      <c r="F371">
        <v>206.9</v>
      </c>
      <c r="G371">
        <v>189.1</v>
      </c>
      <c r="H371">
        <v>173.4</v>
      </c>
      <c r="I371">
        <v>193.9</v>
      </c>
      <c r="J371">
        <v>156.69999999999999</v>
      </c>
      <c r="K371">
        <v>150.19999999999999</v>
      </c>
      <c r="L371">
        <v>170.5</v>
      </c>
      <c r="M371">
        <v>121.2</v>
      </c>
      <c r="N371">
        <v>207.5</v>
      </c>
      <c r="O371">
        <v>176.8</v>
      </c>
      <c r="P371">
        <v>187.7</v>
      </c>
      <c r="Q371">
        <v>174.4</v>
      </c>
      <c r="R371" s="12">
        <f t="shared" si="26"/>
        <v>3.686087990487525E-2</v>
      </c>
      <c r="S371">
        <v>195.9</v>
      </c>
      <c r="T371">
        <v>188.1</v>
      </c>
      <c r="U371">
        <v>185.9</v>
      </c>
      <c r="V371">
        <v>187.8</v>
      </c>
      <c r="W371" t="s">
        <v>31</v>
      </c>
      <c r="X371">
        <v>182.8</v>
      </c>
      <c r="Y371" s="12">
        <f t="shared" si="27"/>
        <v>0.11395490554539925</v>
      </c>
      <c r="Z371">
        <v>176.4</v>
      </c>
      <c r="AA371">
        <v>183.5</v>
      </c>
      <c r="AB371" s="12">
        <f t="shared" si="28"/>
        <v>7.5615474794841778E-2</v>
      </c>
      <c r="AC371">
        <v>167.8</v>
      </c>
      <c r="AD371">
        <v>171.2</v>
      </c>
      <c r="AE371">
        <v>177.3</v>
      </c>
      <c r="AF371">
        <v>175.7</v>
      </c>
      <c r="AG371">
        <v>175.5</v>
      </c>
      <c r="AH371">
        <v>177.1</v>
      </c>
      <c r="AI371" s="11">
        <f t="shared" si="29"/>
        <v>6.5583634175691977E-2</v>
      </c>
    </row>
    <row r="372" spans="1:35" x14ac:dyDescent="0.25">
      <c r="A372" t="s">
        <v>32</v>
      </c>
      <c r="B372">
        <v>2022</v>
      </c>
      <c r="C372">
        <v>12</v>
      </c>
      <c r="D372" s="13">
        <f t="shared" si="25"/>
        <v>44896</v>
      </c>
      <c r="E372">
        <v>170.2</v>
      </c>
      <c r="F372">
        <v>212.9</v>
      </c>
      <c r="G372">
        <v>191.9</v>
      </c>
      <c r="H372">
        <v>173.9</v>
      </c>
      <c r="I372">
        <v>179.1</v>
      </c>
      <c r="J372">
        <v>159.5</v>
      </c>
      <c r="K372">
        <v>178.7</v>
      </c>
      <c r="L372">
        <v>171.3</v>
      </c>
      <c r="M372">
        <v>123.1</v>
      </c>
      <c r="N372">
        <v>200.5</v>
      </c>
      <c r="O372">
        <v>162.80000000000001</v>
      </c>
      <c r="P372">
        <v>193.3</v>
      </c>
      <c r="Q372">
        <v>178.6</v>
      </c>
      <c r="R372" s="12">
        <f t="shared" si="26"/>
        <v>2.4082568807339385E-2</v>
      </c>
      <c r="S372">
        <v>201.1</v>
      </c>
      <c r="T372">
        <v>177.7</v>
      </c>
      <c r="U372">
        <v>164.5</v>
      </c>
      <c r="V372">
        <v>175.7</v>
      </c>
      <c r="W372">
        <v>170.7</v>
      </c>
      <c r="X372">
        <v>180.6</v>
      </c>
      <c r="Y372" s="12">
        <f t="shared" si="27"/>
        <v>-1.203501094091913E-2</v>
      </c>
      <c r="Z372">
        <v>167.3</v>
      </c>
      <c r="AA372">
        <v>177.2</v>
      </c>
      <c r="AB372" s="12">
        <f t="shared" si="28"/>
        <v>-3.4332425068119954E-2</v>
      </c>
      <c r="AC372">
        <v>159.4</v>
      </c>
      <c r="AD372">
        <v>167.1</v>
      </c>
      <c r="AE372">
        <v>171.8</v>
      </c>
      <c r="AF372">
        <v>176</v>
      </c>
      <c r="AG372">
        <v>168.2</v>
      </c>
      <c r="AH372">
        <v>174.1</v>
      </c>
      <c r="AI372" s="11">
        <f t="shared" si="29"/>
        <v>-1.693958215697346E-2</v>
      </c>
    </row>
    <row r="373" spans="1:35" x14ac:dyDescent="0.25">
      <c r="A373" t="s">
        <v>33</v>
      </c>
      <c r="B373">
        <v>2022</v>
      </c>
      <c r="C373">
        <v>12</v>
      </c>
      <c r="D373" s="13">
        <f t="shared" si="25"/>
        <v>44896</v>
      </c>
      <c r="E373">
        <v>169.2</v>
      </c>
      <c r="F373">
        <v>209</v>
      </c>
      <c r="G373">
        <v>190.2</v>
      </c>
      <c r="H373">
        <v>173.6</v>
      </c>
      <c r="I373">
        <v>188.5</v>
      </c>
      <c r="J373">
        <v>158</v>
      </c>
      <c r="K373">
        <v>159.9</v>
      </c>
      <c r="L373">
        <v>170.8</v>
      </c>
      <c r="M373">
        <v>121.8</v>
      </c>
      <c r="N373">
        <v>205.2</v>
      </c>
      <c r="O373">
        <v>171</v>
      </c>
      <c r="P373">
        <v>190.3</v>
      </c>
      <c r="Q373">
        <v>175.9</v>
      </c>
      <c r="R373" s="12">
        <f t="shared" si="26"/>
        <v>-1.5117581187010015E-2</v>
      </c>
      <c r="S373">
        <v>197.3</v>
      </c>
      <c r="T373">
        <v>184</v>
      </c>
      <c r="U373">
        <v>177</v>
      </c>
      <c r="V373">
        <v>183</v>
      </c>
      <c r="W373">
        <v>170.7</v>
      </c>
      <c r="X373">
        <v>182</v>
      </c>
      <c r="Y373" s="12">
        <f t="shared" si="27"/>
        <v>7.751937984496156E-3</v>
      </c>
      <c r="Z373">
        <v>172.1</v>
      </c>
      <c r="AA373">
        <v>181.1</v>
      </c>
      <c r="AB373" s="12">
        <f t="shared" si="28"/>
        <v>2.2009029345372494E-2</v>
      </c>
      <c r="AC373">
        <v>163.4</v>
      </c>
      <c r="AD373">
        <v>168.9</v>
      </c>
      <c r="AE373">
        <v>174.1</v>
      </c>
      <c r="AF373">
        <v>175.8</v>
      </c>
      <c r="AG373">
        <v>172</v>
      </c>
      <c r="AH373">
        <v>175.7</v>
      </c>
      <c r="AI373" s="11">
        <f t="shared" si="29"/>
        <v>9.1901206203331091E-3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75F49-1BDA-4A45-BFC7-9AEAB1768A86}">
  <dimension ref="A1:AL373"/>
  <sheetViews>
    <sheetView topLeftCell="Z1" workbookViewId="0">
      <selection activeCell="AL4" sqref="AL4"/>
    </sheetView>
  </sheetViews>
  <sheetFormatPr defaultRowHeight="15" x14ac:dyDescent="0.25"/>
  <cols>
    <col min="1" max="1" width="12.140625" bestFit="1" customWidth="1"/>
    <col min="2" max="2" width="5" bestFit="1" customWidth="1"/>
    <col min="3" max="3" width="6.7109375" bestFit="1" customWidth="1"/>
    <col min="4" max="4" width="7.28515625" bestFit="1" customWidth="1"/>
    <col min="5" max="5" width="20.42578125" bestFit="1" customWidth="1"/>
    <col min="6" max="6" width="13.140625" bestFit="1" customWidth="1"/>
    <col min="7" max="7" width="6" bestFit="1" customWidth="1"/>
    <col min="8" max="8" width="17" bestFit="1" customWidth="1"/>
    <col min="9" max="9" width="12.140625" bestFit="1" customWidth="1"/>
    <col min="10" max="10" width="6.140625" bestFit="1" customWidth="1"/>
    <col min="11" max="11" width="11" bestFit="1" customWidth="1"/>
    <col min="12" max="12" width="19.42578125" bestFit="1" customWidth="1"/>
    <col min="13" max="13" width="23.5703125" bestFit="1" customWidth="1"/>
    <col min="14" max="14" width="7" bestFit="1" customWidth="1"/>
    <col min="15" max="15" width="23.7109375" bestFit="1" customWidth="1"/>
    <col min="16" max="16" width="34.28515625" bestFit="1" customWidth="1"/>
    <col min="17" max="17" width="19.140625" bestFit="1" customWidth="1"/>
    <col min="18" max="18" width="17.42578125" bestFit="1" customWidth="1"/>
    <col min="19" max="19" width="27.140625" bestFit="1" customWidth="1"/>
    <col min="20" max="20" width="8.7109375" bestFit="1" customWidth="1"/>
    <col min="21" max="21" width="9.28515625" bestFit="1" customWidth="1"/>
    <col min="22" max="22" width="21.140625" bestFit="1" customWidth="1"/>
    <col min="23" max="23" width="8.42578125" bestFit="1" customWidth="1"/>
    <col min="24" max="24" width="13.140625" bestFit="1" customWidth="1"/>
    <col min="25" max="25" width="25.140625" bestFit="1" customWidth="1"/>
    <col min="26" max="26" width="29" bestFit="1" customWidth="1"/>
    <col min="27" max="27" width="7" bestFit="1" customWidth="1"/>
    <col min="28" max="28" width="19" bestFit="1" customWidth="1"/>
    <col min="29" max="29" width="28.28515625" bestFit="1" customWidth="1"/>
    <col min="30" max="30" width="26.28515625" bestFit="1" customWidth="1"/>
    <col min="31" max="31" width="10" bestFit="1" customWidth="1"/>
    <col min="32" max="32" width="24.140625" bestFit="1" customWidth="1"/>
    <col min="33" max="33" width="14.140625" bestFit="1" customWidth="1"/>
    <col min="34" max="34" width="13.7109375" bestFit="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57" t="s">
        <v>8</v>
      </c>
      <c r="K1" s="57" t="s">
        <v>9</v>
      </c>
      <c r="L1" s="1" t="s">
        <v>10</v>
      </c>
      <c r="M1" s="1" t="s">
        <v>11</v>
      </c>
      <c r="N1" s="58" t="s">
        <v>12</v>
      </c>
      <c r="O1" s="1" t="s">
        <v>13</v>
      </c>
      <c r="P1" s="1" t="s">
        <v>14</v>
      </c>
      <c r="Q1" s="1" t="s">
        <v>15</v>
      </c>
      <c r="R1" s="1" t="s">
        <v>53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54</v>
      </c>
      <c r="Z1" s="1" t="s">
        <v>22</v>
      </c>
      <c r="AA1" s="1" t="s">
        <v>23</v>
      </c>
      <c r="AB1" s="1" t="s">
        <v>55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127</v>
      </c>
      <c r="AL1" s="1" t="s">
        <v>130</v>
      </c>
    </row>
    <row r="2" spans="1:38" x14ac:dyDescent="0.25">
      <c r="A2" t="s">
        <v>30</v>
      </c>
      <c r="B2">
        <v>2013</v>
      </c>
      <c r="C2">
        <v>1</v>
      </c>
      <c r="D2" s="13">
        <f>DATE(B2,C2,1)</f>
        <v>41275</v>
      </c>
      <c r="E2">
        <v>107.5</v>
      </c>
      <c r="F2">
        <v>106.3</v>
      </c>
      <c r="G2">
        <v>108.1</v>
      </c>
      <c r="H2">
        <v>104.9</v>
      </c>
      <c r="I2">
        <v>106.1</v>
      </c>
      <c r="J2">
        <v>103.9</v>
      </c>
      <c r="K2">
        <v>101.9</v>
      </c>
      <c r="L2">
        <v>106.1</v>
      </c>
      <c r="M2">
        <v>106.8</v>
      </c>
      <c r="N2">
        <v>103.1</v>
      </c>
      <c r="O2">
        <v>104.8</v>
      </c>
      <c r="P2">
        <v>106.7</v>
      </c>
      <c r="Q2">
        <v>105.5</v>
      </c>
      <c r="R2" s="6">
        <v>0</v>
      </c>
      <c r="S2">
        <v>105.1</v>
      </c>
      <c r="T2">
        <v>106.5</v>
      </c>
      <c r="U2">
        <v>105.8</v>
      </c>
      <c r="V2">
        <v>106.4</v>
      </c>
      <c r="W2" t="s">
        <v>31</v>
      </c>
      <c r="X2">
        <v>105.5</v>
      </c>
      <c r="Y2">
        <v>0</v>
      </c>
      <c r="Z2">
        <v>104.8</v>
      </c>
      <c r="AA2">
        <v>104</v>
      </c>
      <c r="AB2">
        <v>0</v>
      </c>
      <c r="AC2">
        <v>103.3</v>
      </c>
      <c r="AD2">
        <v>103.4</v>
      </c>
      <c r="AE2">
        <v>103.8</v>
      </c>
      <c r="AF2">
        <v>104.7</v>
      </c>
      <c r="AG2">
        <v>104</v>
      </c>
      <c r="AH2">
        <v>105.1</v>
      </c>
      <c r="AI2" t="str">
        <f>IF(AND(J2&gt;150,K2&gt;150),"Yes","No")</f>
        <v>No</v>
      </c>
      <c r="AJ2">
        <f>COUNTIF(AI2:AI373,"Yes")</f>
        <v>91</v>
      </c>
      <c r="AL2">
        <f>AVERAGEIFS(N2:N373,A2:A373,"Urban",C2:C373,12)</f>
        <v>148.12</v>
      </c>
    </row>
    <row r="3" spans="1:38" x14ac:dyDescent="0.25">
      <c r="A3" t="s">
        <v>32</v>
      </c>
      <c r="B3">
        <v>2013</v>
      </c>
      <c r="C3">
        <v>1</v>
      </c>
      <c r="D3" s="13">
        <f t="shared" ref="D3:D66" si="0">DATE(B3,C3,1)</f>
        <v>41275</v>
      </c>
      <c r="E3">
        <v>110.5</v>
      </c>
      <c r="F3">
        <v>109.1</v>
      </c>
      <c r="G3">
        <v>113</v>
      </c>
      <c r="H3">
        <v>103.6</v>
      </c>
      <c r="I3">
        <v>103.4</v>
      </c>
      <c r="J3">
        <v>102.3</v>
      </c>
      <c r="K3">
        <v>102.9</v>
      </c>
      <c r="L3">
        <v>105.8</v>
      </c>
      <c r="M3">
        <v>105.1</v>
      </c>
      <c r="N3">
        <v>101.8</v>
      </c>
      <c r="O3">
        <v>105.1</v>
      </c>
      <c r="P3">
        <v>107.9</v>
      </c>
      <c r="Q3">
        <v>105.9</v>
      </c>
      <c r="R3" s="12">
        <f t="shared" ref="R3:R66" si="1">(Q3-Q2)/Q2</f>
        <v>3.7914691943128501E-3</v>
      </c>
      <c r="S3">
        <v>105.2</v>
      </c>
      <c r="T3">
        <v>105.9</v>
      </c>
      <c r="U3">
        <v>105</v>
      </c>
      <c r="V3">
        <v>105.8</v>
      </c>
      <c r="W3">
        <v>100.3</v>
      </c>
      <c r="X3">
        <v>105.4</v>
      </c>
      <c r="Y3" s="12">
        <f t="shared" ref="Y3:Y66" si="2">(X3-X2)/X2</f>
        <v>-9.478672985781452E-4</v>
      </c>
      <c r="Z3">
        <v>104.8</v>
      </c>
      <c r="AA3">
        <v>104.1</v>
      </c>
      <c r="AB3" s="12">
        <f t="shared" ref="AB3:AB66" si="3">(AA3-AA2)/AA2</f>
        <v>9.6153846153840684E-4</v>
      </c>
      <c r="AC3">
        <v>103.2</v>
      </c>
      <c r="AD3">
        <v>102.9</v>
      </c>
      <c r="AE3">
        <v>103.5</v>
      </c>
      <c r="AF3">
        <v>104.3</v>
      </c>
      <c r="AG3">
        <v>103.7</v>
      </c>
      <c r="AH3">
        <v>104</v>
      </c>
      <c r="AI3" t="str">
        <f t="shared" ref="AI3:AI66" si="4">IF(AND(J3&gt;150,K3&gt;150),"Yes","No")</f>
        <v>No</v>
      </c>
      <c r="AJ3" t="s">
        <v>128</v>
      </c>
      <c r="AK3" t="s">
        <v>129</v>
      </c>
    </row>
    <row r="4" spans="1:38" x14ac:dyDescent="0.25">
      <c r="A4" t="s">
        <v>33</v>
      </c>
      <c r="B4">
        <v>2013</v>
      </c>
      <c r="C4">
        <v>1</v>
      </c>
      <c r="D4" s="13">
        <f t="shared" si="0"/>
        <v>41275</v>
      </c>
      <c r="E4">
        <v>108.4</v>
      </c>
      <c r="F4">
        <v>107.3</v>
      </c>
      <c r="G4">
        <v>110</v>
      </c>
      <c r="H4">
        <v>104.4</v>
      </c>
      <c r="I4">
        <v>105.1</v>
      </c>
      <c r="J4">
        <v>103.2</v>
      </c>
      <c r="K4">
        <v>102.2</v>
      </c>
      <c r="L4">
        <v>106</v>
      </c>
      <c r="M4">
        <v>106.2</v>
      </c>
      <c r="N4">
        <v>102.7</v>
      </c>
      <c r="O4">
        <v>104.9</v>
      </c>
      <c r="P4">
        <v>107.3</v>
      </c>
      <c r="Q4">
        <v>105.6</v>
      </c>
      <c r="R4" s="12">
        <f t="shared" si="1"/>
        <v>-2.832861189801807E-3</v>
      </c>
      <c r="S4">
        <v>105.1</v>
      </c>
      <c r="T4">
        <v>106.3</v>
      </c>
      <c r="U4">
        <v>105.5</v>
      </c>
      <c r="V4">
        <v>106.2</v>
      </c>
      <c r="W4">
        <v>100.3</v>
      </c>
      <c r="X4">
        <v>105.5</v>
      </c>
      <c r="Y4" s="12">
        <f t="shared" si="2"/>
        <v>9.487666034155058E-4</v>
      </c>
      <c r="Z4">
        <v>104.8</v>
      </c>
      <c r="AA4">
        <v>104</v>
      </c>
      <c r="AB4" s="12">
        <f t="shared" si="3"/>
        <v>-9.6061479346776484E-4</v>
      </c>
      <c r="AC4">
        <v>103.2</v>
      </c>
      <c r="AD4">
        <v>103.1</v>
      </c>
      <c r="AE4">
        <v>103.6</v>
      </c>
      <c r="AF4">
        <v>104.5</v>
      </c>
      <c r="AG4">
        <v>103.9</v>
      </c>
      <c r="AH4">
        <v>104.6</v>
      </c>
      <c r="AI4" t="str">
        <f t="shared" si="4"/>
        <v>No</v>
      </c>
    </row>
    <row r="5" spans="1:38" x14ac:dyDescent="0.25">
      <c r="A5" t="s">
        <v>30</v>
      </c>
      <c r="B5">
        <v>2014</v>
      </c>
      <c r="C5">
        <v>1</v>
      </c>
      <c r="D5" s="13">
        <f t="shared" si="0"/>
        <v>41640</v>
      </c>
      <c r="E5">
        <v>118.9</v>
      </c>
      <c r="F5">
        <v>117.1</v>
      </c>
      <c r="G5">
        <v>120.5</v>
      </c>
      <c r="H5">
        <v>114.4</v>
      </c>
      <c r="I5">
        <v>109</v>
      </c>
      <c r="J5">
        <v>115.5</v>
      </c>
      <c r="K5">
        <v>123.9</v>
      </c>
      <c r="L5">
        <v>109.6</v>
      </c>
      <c r="M5">
        <v>101.8</v>
      </c>
      <c r="N5">
        <v>110.2</v>
      </c>
      <c r="O5">
        <v>112.4</v>
      </c>
      <c r="P5">
        <v>117.3</v>
      </c>
      <c r="Q5">
        <v>116</v>
      </c>
      <c r="R5" s="12">
        <f t="shared" si="1"/>
        <v>9.848484848484855E-2</v>
      </c>
      <c r="S5">
        <v>114</v>
      </c>
      <c r="T5">
        <v>116.5</v>
      </c>
      <c r="U5">
        <v>114.5</v>
      </c>
      <c r="V5">
        <v>116.2</v>
      </c>
      <c r="W5" t="s">
        <v>31</v>
      </c>
      <c r="X5">
        <v>113</v>
      </c>
      <c r="Y5" s="12">
        <f t="shared" si="2"/>
        <v>7.1090047393364927E-2</v>
      </c>
      <c r="Z5">
        <v>112.6</v>
      </c>
      <c r="AA5">
        <v>110.6</v>
      </c>
      <c r="AB5" s="12">
        <f t="shared" si="3"/>
        <v>6.3461538461538403E-2</v>
      </c>
      <c r="AC5">
        <v>110.5</v>
      </c>
      <c r="AD5">
        <v>109.6</v>
      </c>
      <c r="AE5">
        <v>111.8</v>
      </c>
      <c r="AF5">
        <v>108.3</v>
      </c>
      <c r="AG5">
        <v>110.6</v>
      </c>
      <c r="AH5">
        <v>114.2</v>
      </c>
      <c r="AI5" t="str">
        <f t="shared" si="4"/>
        <v>No</v>
      </c>
    </row>
    <row r="6" spans="1:38" x14ac:dyDescent="0.25">
      <c r="A6" t="s">
        <v>32</v>
      </c>
      <c r="B6">
        <v>2014</v>
      </c>
      <c r="C6">
        <v>1</v>
      </c>
      <c r="D6" s="13">
        <f t="shared" si="0"/>
        <v>41640</v>
      </c>
      <c r="E6">
        <v>121.2</v>
      </c>
      <c r="F6">
        <v>122</v>
      </c>
      <c r="G6">
        <v>129.9</v>
      </c>
      <c r="H6">
        <v>113.6</v>
      </c>
      <c r="I6">
        <v>102.9</v>
      </c>
      <c r="J6">
        <v>112.1</v>
      </c>
      <c r="K6">
        <v>118.9</v>
      </c>
      <c r="L6">
        <v>107.5</v>
      </c>
      <c r="M6">
        <v>96.9</v>
      </c>
      <c r="N6">
        <v>112.7</v>
      </c>
      <c r="O6">
        <v>112.1</v>
      </c>
      <c r="P6">
        <v>119</v>
      </c>
      <c r="Q6">
        <v>115.5</v>
      </c>
      <c r="R6" s="12">
        <f t="shared" si="1"/>
        <v>-4.3103448275862068E-3</v>
      </c>
      <c r="S6">
        <v>115.7</v>
      </c>
      <c r="T6">
        <v>114.8</v>
      </c>
      <c r="U6">
        <v>111.3</v>
      </c>
      <c r="V6">
        <v>114.3</v>
      </c>
      <c r="W6">
        <v>111.6</v>
      </c>
      <c r="X6">
        <v>111</v>
      </c>
      <c r="Y6" s="12">
        <f t="shared" si="2"/>
        <v>-1.7699115044247787E-2</v>
      </c>
      <c r="Z6">
        <v>111.9</v>
      </c>
      <c r="AA6">
        <v>109.7</v>
      </c>
      <c r="AB6" s="12">
        <f t="shared" si="3"/>
        <v>-8.1374321880650236E-3</v>
      </c>
      <c r="AC6">
        <v>110.8</v>
      </c>
      <c r="AD6">
        <v>109.8</v>
      </c>
      <c r="AE6">
        <v>111.5</v>
      </c>
      <c r="AF6">
        <v>108</v>
      </c>
      <c r="AG6">
        <v>110.5</v>
      </c>
      <c r="AH6">
        <v>112.9</v>
      </c>
      <c r="AI6" t="str">
        <f t="shared" si="4"/>
        <v>No</v>
      </c>
    </row>
    <row r="7" spans="1:38" x14ac:dyDescent="0.25">
      <c r="A7" t="s">
        <v>33</v>
      </c>
      <c r="B7">
        <v>2014</v>
      </c>
      <c r="C7">
        <v>1</v>
      </c>
      <c r="D7" s="13">
        <f t="shared" si="0"/>
        <v>41640</v>
      </c>
      <c r="E7">
        <v>119.6</v>
      </c>
      <c r="F7">
        <v>118.8</v>
      </c>
      <c r="G7">
        <v>124.1</v>
      </c>
      <c r="H7">
        <v>114.1</v>
      </c>
      <c r="I7">
        <v>106.8</v>
      </c>
      <c r="J7">
        <v>113.9</v>
      </c>
      <c r="K7">
        <v>122.2</v>
      </c>
      <c r="L7">
        <v>108.9</v>
      </c>
      <c r="M7">
        <v>100.2</v>
      </c>
      <c r="N7">
        <v>111</v>
      </c>
      <c r="O7">
        <v>112.3</v>
      </c>
      <c r="P7">
        <v>118.1</v>
      </c>
      <c r="Q7">
        <v>115.8</v>
      </c>
      <c r="R7" s="12">
        <f t="shared" si="1"/>
        <v>2.5974025974025727E-3</v>
      </c>
      <c r="S7">
        <v>114.5</v>
      </c>
      <c r="T7">
        <v>115.8</v>
      </c>
      <c r="U7">
        <v>113.2</v>
      </c>
      <c r="V7">
        <v>115.4</v>
      </c>
      <c r="W7">
        <v>111.6</v>
      </c>
      <c r="X7">
        <v>112.2</v>
      </c>
      <c r="Y7" s="12">
        <f t="shared" si="2"/>
        <v>1.0810810810810836E-2</v>
      </c>
      <c r="Z7">
        <v>112.3</v>
      </c>
      <c r="AA7">
        <v>110.3</v>
      </c>
      <c r="AB7" s="12">
        <f t="shared" si="3"/>
        <v>5.4694621695532755E-3</v>
      </c>
      <c r="AC7">
        <v>110.7</v>
      </c>
      <c r="AD7">
        <v>109.7</v>
      </c>
      <c r="AE7">
        <v>111.6</v>
      </c>
      <c r="AF7">
        <v>108.2</v>
      </c>
      <c r="AG7">
        <v>110.6</v>
      </c>
      <c r="AH7">
        <v>113.6</v>
      </c>
      <c r="AI7" t="str">
        <f t="shared" si="4"/>
        <v>No</v>
      </c>
    </row>
    <row r="8" spans="1:38" x14ac:dyDescent="0.25">
      <c r="A8" t="s">
        <v>30</v>
      </c>
      <c r="B8">
        <v>2015</v>
      </c>
      <c r="C8">
        <v>1</v>
      </c>
      <c r="D8" s="13">
        <f t="shared" si="0"/>
        <v>42005</v>
      </c>
      <c r="E8">
        <v>123.1</v>
      </c>
      <c r="F8">
        <v>123.1</v>
      </c>
      <c r="G8">
        <v>122.1</v>
      </c>
      <c r="H8">
        <v>124.9</v>
      </c>
      <c r="I8">
        <v>111</v>
      </c>
      <c r="J8">
        <v>130.4</v>
      </c>
      <c r="K8">
        <v>132.30000000000001</v>
      </c>
      <c r="L8">
        <v>117.2</v>
      </c>
      <c r="M8">
        <v>100.5</v>
      </c>
      <c r="N8">
        <v>117.2</v>
      </c>
      <c r="O8">
        <v>117.9</v>
      </c>
      <c r="P8">
        <v>125.6</v>
      </c>
      <c r="Q8">
        <v>122.8</v>
      </c>
      <c r="R8" s="12">
        <f t="shared" si="1"/>
        <v>6.0449050086355788E-2</v>
      </c>
      <c r="S8">
        <v>122.7</v>
      </c>
      <c r="T8">
        <v>124.4</v>
      </c>
      <c r="U8">
        <v>121.6</v>
      </c>
      <c r="V8">
        <v>124</v>
      </c>
      <c r="W8" t="s">
        <v>31</v>
      </c>
      <c r="X8">
        <v>118.4</v>
      </c>
      <c r="Y8" s="12">
        <f t="shared" si="2"/>
        <v>5.5258467023172927E-2</v>
      </c>
      <c r="Z8">
        <v>118.9</v>
      </c>
      <c r="AA8">
        <v>116.6</v>
      </c>
      <c r="AB8" s="12">
        <f t="shared" si="3"/>
        <v>5.7116953762465977E-2</v>
      </c>
      <c r="AC8">
        <v>111</v>
      </c>
      <c r="AD8">
        <v>114</v>
      </c>
      <c r="AE8">
        <v>118.2</v>
      </c>
      <c r="AF8">
        <v>110.2</v>
      </c>
      <c r="AG8">
        <v>114.5</v>
      </c>
      <c r="AH8">
        <v>120.3</v>
      </c>
      <c r="AI8" t="str">
        <f t="shared" si="4"/>
        <v>No</v>
      </c>
    </row>
    <row r="9" spans="1:38" x14ac:dyDescent="0.25">
      <c r="A9" t="s">
        <v>32</v>
      </c>
      <c r="B9">
        <v>2015</v>
      </c>
      <c r="C9">
        <v>1</v>
      </c>
      <c r="D9" s="13">
        <f t="shared" si="0"/>
        <v>42005</v>
      </c>
      <c r="E9">
        <v>124</v>
      </c>
      <c r="F9">
        <v>125.5</v>
      </c>
      <c r="G9">
        <v>126.6</v>
      </c>
      <c r="H9">
        <v>125.2</v>
      </c>
      <c r="I9">
        <v>104.3</v>
      </c>
      <c r="J9">
        <v>121.3</v>
      </c>
      <c r="K9">
        <v>134.4</v>
      </c>
      <c r="L9">
        <v>122.9</v>
      </c>
      <c r="M9">
        <v>96.1</v>
      </c>
      <c r="N9">
        <v>126.6</v>
      </c>
      <c r="O9">
        <v>116.5</v>
      </c>
      <c r="P9">
        <v>128</v>
      </c>
      <c r="Q9">
        <v>123.5</v>
      </c>
      <c r="R9" s="12">
        <f t="shared" si="1"/>
        <v>5.7003257328990461E-3</v>
      </c>
      <c r="S9">
        <v>127.4</v>
      </c>
      <c r="T9">
        <v>121</v>
      </c>
      <c r="U9">
        <v>116.1</v>
      </c>
      <c r="V9">
        <v>120.2</v>
      </c>
      <c r="W9">
        <v>117.3</v>
      </c>
      <c r="X9">
        <v>113.4</v>
      </c>
      <c r="Y9" s="12">
        <f t="shared" si="2"/>
        <v>-4.2229729729729729E-2</v>
      </c>
      <c r="Z9">
        <v>117.2</v>
      </c>
      <c r="AA9">
        <v>113.7</v>
      </c>
      <c r="AB9" s="12">
        <f t="shared" si="3"/>
        <v>-2.4871355060034232E-2</v>
      </c>
      <c r="AC9">
        <v>107.9</v>
      </c>
      <c r="AD9">
        <v>114.6</v>
      </c>
      <c r="AE9">
        <v>120.8</v>
      </c>
      <c r="AF9">
        <v>111.4</v>
      </c>
      <c r="AG9">
        <v>113.4</v>
      </c>
      <c r="AH9">
        <v>118.5</v>
      </c>
      <c r="AI9" t="str">
        <f t="shared" si="4"/>
        <v>No</v>
      </c>
    </row>
    <row r="10" spans="1:38" x14ac:dyDescent="0.25">
      <c r="A10" t="s">
        <v>33</v>
      </c>
      <c r="B10">
        <v>2015</v>
      </c>
      <c r="C10">
        <v>1</v>
      </c>
      <c r="D10" s="13">
        <f t="shared" si="0"/>
        <v>42005</v>
      </c>
      <c r="E10">
        <v>123.4</v>
      </c>
      <c r="F10">
        <v>123.9</v>
      </c>
      <c r="G10">
        <v>123.8</v>
      </c>
      <c r="H10">
        <v>125</v>
      </c>
      <c r="I10">
        <v>108.5</v>
      </c>
      <c r="J10">
        <v>126.2</v>
      </c>
      <c r="K10">
        <v>133</v>
      </c>
      <c r="L10">
        <v>119.1</v>
      </c>
      <c r="M10">
        <v>99</v>
      </c>
      <c r="N10">
        <v>120.3</v>
      </c>
      <c r="O10">
        <v>117.3</v>
      </c>
      <c r="P10">
        <v>126.7</v>
      </c>
      <c r="Q10">
        <v>123.1</v>
      </c>
      <c r="R10" s="12">
        <f t="shared" si="1"/>
        <v>-3.2388663967611794E-3</v>
      </c>
      <c r="S10">
        <v>124</v>
      </c>
      <c r="T10">
        <v>123.1</v>
      </c>
      <c r="U10">
        <v>119.3</v>
      </c>
      <c r="V10">
        <v>122.5</v>
      </c>
      <c r="W10">
        <v>117.3</v>
      </c>
      <c r="X10">
        <v>116.5</v>
      </c>
      <c r="Y10" s="12">
        <f t="shared" si="2"/>
        <v>2.7336860670193953E-2</v>
      </c>
      <c r="Z10">
        <v>118.1</v>
      </c>
      <c r="AA10">
        <v>115.5</v>
      </c>
      <c r="AB10" s="12">
        <f t="shared" si="3"/>
        <v>1.5831134564643773E-2</v>
      </c>
      <c r="AC10">
        <v>109.4</v>
      </c>
      <c r="AD10">
        <v>114.3</v>
      </c>
      <c r="AE10">
        <v>119.7</v>
      </c>
      <c r="AF10">
        <v>110.7</v>
      </c>
      <c r="AG10">
        <v>114</v>
      </c>
      <c r="AH10">
        <v>119.5</v>
      </c>
      <c r="AI10" t="str">
        <f t="shared" si="4"/>
        <v>No</v>
      </c>
    </row>
    <row r="11" spans="1:38" x14ac:dyDescent="0.25">
      <c r="A11" t="s">
        <v>30</v>
      </c>
      <c r="B11">
        <v>2016</v>
      </c>
      <c r="C11">
        <v>1</v>
      </c>
      <c r="D11" s="13">
        <f t="shared" si="0"/>
        <v>42370</v>
      </c>
      <c r="E11">
        <v>126.8</v>
      </c>
      <c r="F11">
        <v>133.19999999999999</v>
      </c>
      <c r="G11">
        <v>126.5</v>
      </c>
      <c r="H11">
        <v>130.30000000000001</v>
      </c>
      <c r="I11">
        <v>118.9</v>
      </c>
      <c r="J11">
        <v>131.6</v>
      </c>
      <c r="K11">
        <v>140.1</v>
      </c>
      <c r="L11">
        <v>163.80000000000001</v>
      </c>
      <c r="M11">
        <v>97.7</v>
      </c>
      <c r="N11">
        <v>129.6</v>
      </c>
      <c r="O11">
        <v>124.3</v>
      </c>
      <c r="P11">
        <v>135.9</v>
      </c>
      <c r="Q11">
        <v>131.4</v>
      </c>
      <c r="R11" s="12">
        <f t="shared" si="1"/>
        <v>6.742485783915525E-2</v>
      </c>
      <c r="S11">
        <v>133.6</v>
      </c>
      <c r="T11">
        <v>133.19999999999999</v>
      </c>
      <c r="U11">
        <v>128.9</v>
      </c>
      <c r="V11">
        <v>132.6</v>
      </c>
      <c r="W11" t="s">
        <v>31</v>
      </c>
      <c r="X11">
        <v>126.2</v>
      </c>
      <c r="Y11" s="12">
        <f t="shared" si="2"/>
        <v>8.3261802575107319E-2</v>
      </c>
      <c r="Z11">
        <v>126.6</v>
      </c>
      <c r="AA11">
        <v>123.7</v>
      </c>
      <c r="AB11" s="12">
        <f t="shared" si="3"/>
        <v>7.0995670995671015E-2</v>
      </c>
      <c r="AC11">
        <v>113.6</v>
      </c>
      <c r="AD11">
        <v>121.4</v>
      </c>
      <c r="AE11">
        <v>126.2</v>
      </c>
      <c r="AF11">
        <v>114.9</v>
      </c>
      <c r="AG11">
        <v>120.1</v>
      </c>
      <c r="AH11">
        <v>128.1</v>
      </c>
      <c r="AI11" t="str">
        <f t="shared" si="4"/>
        <v>No</v>
      </c>
    </row>
    <row r="12" spans="1:38" x14ac:dyDescent="0.25">
      <c r="A12" t="s">
        <v>32</v>
      </c>
      <c r="B12">
        <v>2016</v>
      </c>
      <c r="C12">
        <v>1</v>
      </c>
      <c r="D12" s="13">
        <f t="shared" si="0"/>
        <v>42370</v>
      </c>
      <c r="E12">
        <v>124.7</v>
      </c>
      <c r="F12">
        <v>135.9</v>
      </c>
      <c r="G12">
        <v>132</v>
      </c>
      <c r="H12">
        <v>129.19999999999999</v>
      </c>
      <c r="I12">
        <v>109.7</v>
      </c>
      <c r="J12">
        <v>119</v>
      </c>
      <c r="K12">
        <v>144.1</v>
      </c>
      <c r="L12">
        <v>184.2</v>
      </c>
      <c r="M12">
        <v>96.7</v>
      </c>
      <c r="N12">
        <v>139.5</v>
      </c>
      <c r="O12">
        <v>120.5</v>
      </c>
      <c r="P12">
        <v>134.69999999999999</v>
      </c>
      <c r="Q12">
        <v>131.19999999999999</v>
      </c>
      <c r="R12" s="12">
        <f t="shared" si="1"/>
        <v>-1.52207001522083E-3</v>
      </c>
      <c r="S12">
        <v>139.5</v>
      </c>
      <c r="T12">
        <v>125.8</v>
      </c>
      <c r="U12">
        <v>119.8</v>
      </c>
      <c r="V12">
        <v>124.9</v>
      </c>
      <c r="W12">
        <v>123.4</v>
      </c>
      <c r="X12">
        <v>116.9</v>
      </c>
      <c r="Y12" s="12">
        <f t="shared" si="2"/>
        <v>-7.3692551505546725E-2</v>
      </c>
      <c r="Z12">
        <v>121.6</v>
      </c>
      <c r="AA12">
        <v>119.1</v>
      </c>
      <c r="AB12" s="12">
        <f t="shared" si="3"/>
        <v>-3.7186742118027555E-2</v>
      </c>
      <c r="AC12">
        <v>108.9</v>
      </c>
      <c r="AD12">
        <v>118.5</v>
      </c>
      <c r="AE12">
        <v>126.4</v>
      </c>
      <c r="AF12">
        <v>114</v>
      </c>
      <c r="AG12">
        <v>116.8</v>
      </c>
      <c r="AH12">
        <v>124.2</v>
      </c>
      <c r="AI12" t="str">
        <f t="shared" si="4"/>
        <v>No</v>
      </c>
    </row>
    <row r="13" spans="1:38" x14ac:dyDescent="0.25">
      <c r="A13" t="s">
        <v>33</v>
      </c>
      <c r="B13">
        <v>2016</v>
      </c>
      <c r="C13">
        <v>1</v>
      </c>
      <c r="D13" s="13">
        <f t="shared" si="0"/>
        <v>42370</v>
      </c>
      <c r="E13">
        <v>126.1</v>
      </c>
      <c r="F13">
        <v>134.1</v>
      </c>
      <c r="G13">
        <v>128.6</v>
      </c>
      <c r="H13">
        <v>129.9</v>
      </c>
      <c r="I13">
        <v>115.5</v>
      </c>
      <c r="J13">
        <v>125.7</v>
      </c>
      <c r="K13">
        <v>141.5</v>
      </c>
      <c r="L13">
        <v>170.7</v>
      </c>
      <c r="M13">
        <v>97.4</v>
      </c>
      <c r="N13">
        <v>132.9</v>
      </c>
      <c r="O13">
        <v>122.7</v>
      </c>
      <c r="P13">
        <v>135.30000000000001</v>
      </c>
      <c r="Q13">
        <v>131.30000000000001</v>
      </c>
      <c r="R13" s="12">
        <f t="shared" si="1"/>
        <v>7.621951219513929E-4</v>
      </c>
      <c r="S13">
        <v>135.19999999999999</v>
      </c>
      <c r="T13">
        <v>130.30000000000001</v>
      </c>
      <c r="U13">
        <v>125.1</v>
      </c>
      <c r="V13">
        <v>129.5</v>
      </c>
      <c r="W13">
        <v>123.4</v>
      </c>
      <c r="X13">
        <v>122.7</v>
      </c>
      <c r="Y13" s="12">
        <f t="shared" si="2"/>
        <v>4.9615055603079529E-2</v>
      </c>
      <c r="Z13">
        <v>124.2</v>
      </c>
      <c r="AA13">
        <v>122</v>
      </c>
      <c r="AB13" s="12">
        <f t="shared" si="3"/>
        <v>2.4349286314021879E-2</v>
      </c>
      <c r="AC13">
        <v>111.1</v>
      </c>
      <c r="AD13">
        <v>119.8</v>
      </c>
      <c r="AE13">
        <v>126.3</v>
      </c>
      <c r="AF13">
        <v>114.5</v>
      </c>
      <c r="AG13">
        <v>118.5</v>
      </c>
      <c r="AH13">
        <v>126.3</v>
      </c>
      <c r="AI13" t="str">
        <f t="shared" si="4"/>
        <v>No</v>
      </c>
    </row>
    <row r="14" spans="1:38" x14ac:dyDescent="0.25">
      <c r="A14" t="s">
        <v>30</v>
      </c>
      <c r="B14">
        <v>2017</v>
      </c>
      <c r="C14">
        <v>1</v>
      </c>
      <c r="D14" s="13">
        <f t="shared" si="0"/>
        <v>42736</v>
      </c>
      <c r="E14">
        <v>133.1</v>
      </c>
      <c r="F14">
        <v>137.80000000000001</v>
      </c>
      <c r="G14">
        <v>131.9</v>
      </c>
      <c r="H14">
        <v>136.69999999999999</v>
      </c>
      <c r="I14">
        <v>122</v>
      </c>
      <c r="J14">
        <v>136</v>
      </c>
      <c r="K14">
        <v>119.8</v>
      </c>
      <c r="L14">
        <v>161.69999999999999</v>
      </c>
      <c r="M14">
        <v>114.8</v>
      </c>
      <c r="N14">
        <v>136.9</v>
      </c>
      <c r="O14">
        <v>129</v>
      </c>
      <c r="P14">
        <v>143.9</v>
      </c>
      <c r="Q14">
        <v>133.69999999999999</v>
      </c>
      <c r="R14" s="12">
        <f t="shared" si="1"/>
        <v>1.8278750952018103E-2</v>
      </c>
      <c r="S14">
        <v>143.1</v>
      </c>
      <c r="T14">
        <v>140.69999999999999</v>
      </c>
      <c r="U14">
        <v>135.80000000000001</v>
      </c>
      <c r="V14">
        <v>140</v>
      </c>
      <c r="W14" t="s">
        <v>31</v>
      </c>
      <c r="X14">
        <v>132.1</v>
      </c>
      <c r="Y14" s="12">
        <f t="shared" si="2"/>
        <v>7.6609616951915163E-2</v>
      </c>
      <c r="Z14">
        <v>133.19999999999999</v>
      </c>
      <c r="AA14">
        <v>129.9</v>
      </c>
      <c r="AB14" s="12">
        <f t="shared" si="3"/>
        <v>6.4754098360655779E-2</v>
      </c>
      <c r="AC14">
        <v>119.1</v>
      </c>
      <c r="AD14">
        <v>127</v>
      </c>
      <c r="AE14">
        <v>134.6</v>
      </c>
      <c r="AF14">
        <v>122.3</v>
      </c>
      <c r="AG14">
        <v>126.6</v>
      </c>
      <c r="AH14">
        <v>132.4</v>
      </c>
      <c r="AI14" t="str">
        <f t="shared" si="4"/>
        <v>No</v>
      </c>
    </row>
    <row r="15" spans="1:38" x14ac:dyDescent="0.25">
      <c r="A15" t="s">
        <v>32</v>
      </c>
      <c r="B15">
        <v>2017</v>
      </c>
      <c r="C15">
        <v>1</v>
      </c>
      <c r="D15" s="13">
        <f t="shared" si="0"/>
        <v>42736</v>
      </c>
      <c r="E15">
        <v>132.19999999999999</v>
      </c>
      <c r="F15">
        <v>138.9</v>
      </c>
      <c r="G15">
        <v>132.6</v>
      </c>
      <c r="H15">
        <v>133.1</v>
      </c>
      <c r="I15">
        <v>114</v>
      </c>
      <c r="J15">
        <v>129.6</v>
      </c>
      <c r="K15">
        <v>118.7</v>
      </c>
      <c r="L15">
        <v>155.1</v>
      </c>
      <c r="M15">
        <v>117.3</v>
      </c>
      <c r="N15">
        <v>144.9</v>
      </c>
      <c r="O15">
        <v>123.2</v>
      </c>
      <c r="P15">
        <v>141.6</v>
      </c>
      <c r="Q15">
        <v>132</v>
      </c>
      <c r="R15" s="12">
        <f t="shared" si="1"/>
        <v>-1.271503365744195E-2</v>
      </c>
      <c r="S15">
        <v>145.6</v>
      </c>
      <c r="T15">
        <v>130.19999999999999</v>
      </c>
      <c r="U15">
        <v>122.3</v>
      </c>
      <c r="V15">
        <v>129</v>
      </c>
      <c r="W15">
        <v>129.6</v>
      </c>
      <c r="X15">
        <v>118</v>
      </c>
      <c r="Y15" s="12">
        <f t="shared" si="2"/>
        <v>-0.1067373202119606</v>
      </c>
      <c r="Z15">
        <v>125.1</v>
      </c>
      <c r="AA15">
        <v>122.6</v>
      </c>
      <c r="AB15" s="12">
        <f t="shared" si="3"/>
        <v>-5.6197074672825337E-2</v>
      </c>
      <c r="AC15">
        <v>115.2</v>
      </c>
      <c r="AD15">
        <v>122</v>
      </c>
      <c r="AE15">
        <v>132.4</v>
      </c>
      <c r="AF15">
        <v>120.9</v>
      </c>
      <c r="AG15">
        <v>122.1</v>
      </c>
      <c r="AH15">
        <v>127.8</v>
      </c>
      <c r="AI15" t="str">
        <f t="shared" si="4"/>
        <v>No</v>
      </c>
    </row>
    <row r="16" spans="1:38" x14ac:dyDescent="0.25">
      <c r="A16" t="s">
        <v>33</v>
      </c>
      <c r="B16">
        <v>2017</v>
      </c>
      <c r="C16">
        <v>1</v>
      </c>
      <c r="D16" s="13">
        <f t="shared" si="0"/>
        <v>42736</v>
      </c>
      <c r="E16">
        <v>132.80000000000001</v>
      </c>
      <c r="F16">
        <v>138.19999999999999</v>
      </c>
      <c r="G16">
        <v>132.19999999999999</v>
      </c>
      <c r="H16">
        <v>135.4</v>
      </c>
      <c r="I16">
        <v>119.1</v>
      </c>
      <c r="J16">
        <v>133</v>
      </c>
      <c r="K16">
        <v>119.4</v>
      </c>
      <c r="L16">
        <v>159.5</v>
      </c>
      <c r="M16">
        <v>115.6</v>
      </c>
      <c r="N16">
        <v>139.6</v>
      </c>
      <c r="O16">
        <v>126.6</v>
      </c>
      <c r="P16">
        <v>142.80000000000001</v>
      </c>
      <c r="Q16">
        <v>133.1</v>
      </c>
      <c r="R16" s="12">
        <f t="shared" si="1"/>
        <v>8.3333333333332898E-3</v>
      </c>
      <c r="S16">
        <v>143.80000000000001</v>
      </c>
      <c r="T16">
        <v>136.6</v>
      </c>
      <c r="U16">
        <v>130.19999999999999</v>
      </c>
      <c r="V16">
        <v>135.6</v>
      </c>
      <c r="W16">
        <v>129.6</v>
      </c>
      <c r="X16">
        <v>126.8</v>
      </c>
      <c r="Y16" s="12">
        <f t="shared" si="2"/>
        <v>7.4576271186440654E-2</v>
      </c>
      <c r="Z16">
        <v>129.4</v>
      </c>
      <c r="AA16">
        <v>127.1</v>
      </c>
      <c r="AB16" s="12">
        <f t="shared" si="3"/>
        <v>3.6704730831973897E-2</v>
      </c>
      <c r="AC16">
        <v>117</v>
      </c>
      <c r="AD16">
        <v>124.2</v>
      </c>
      <c r="AE16">
        <v>133.30000000000001</v>
      </c>
      <c r="AF16">
        <v>121.7</v>
      </c>
      <c r="AG16">
        <v>124.4</v>
      </c>
      <c r="AH16">
        <v>130.30000000000001</v>
      </c>
      <c r="AI16" t="str">
        <f t="shared" si="4"/>
        <v>No</v>
      </c>
    </row>
    <row r="17" spans="1:35" x14ac:dyDescent="0.25">
      <c r="A17" t="s">
        <v>30</v>
      </c>
      <c r="B17">
        <v>2018</v>
      </c>
      <c r="C17">
        <v>1</v>
      </c>
      <c r="D17" s="13">
        <f t="shared" si="0"/>
        <v>43101</v>
      </c>
      <c r="E17">
        <v>136.6</v>
      </c>
      <c r="F17">
        <v>144.4</v>
      </c>
      <c r="G17">
        <v>143.80000000000001</v>
      </c>
      <c r="H17">
        <v>142</v>
      </c>
      <c r="I17">
        <v>123.2</v>
      </c>
      <c r="J17">
        <v>147.9</v>
      </c>
      <c r="K17">
        <v>152.1</v>
      </c>
      <c r="L17">
        <v>131.80000000000001</v>
      </c>
      <c r="M17">
        <v>119.5</v>
      </c>
      <c r="N17">
        <v>136</v>
      </c>
      <c r="O17">
        <v>131.19999999999999</v>
      </c>
      <c r="P17">
        <v>151.80000000000001</v>
      </c>
      <c r="Q17">
        <v>140.4</v>
      </c>
      <c r="R17" s="12">
        <f t="shared" si="1"/>
        <v>5.4845980465815264E-2</v>
      </c>
      <c r="S17">
        <v>153.6</v>
      </c>
      <c r="T17">
        <v>148.30000000000001</v>
      </c>
      <c r="U17">
        <v>142.30000000000001</v>
      </c>
      <c r="V17">
        <v>147.5</v>
      </c>
      <c r="W17" t="s">
        <v>31</v>
      </c>
      <c r="X17">
        <v>142.30000000000001</v>
      </c>
      <c r="Y17" s="12">
        <f t="shared" si="2"/>
        <v>0.12223974763406951</v>
      </c>
      <c r="Z17">
        <v>139.80000000000001</v>
      </c>
      <c r="AA17">
        <v>136</v>
      </c>
      <c r="AB17" s="12">
        <f t="shared" si="3"/>
        <v>7.0023603461841125E-2</v>
      </c>
      <c r="AC17">
        <v>122.7</v>
      </c>
      <c r="AD17">
        <v>134.30000000000001</v>
      </c>
      <c r="AE17">
        <v>141.6</v>
      </c>
      <c r="AF17">
        <v>128.6</v>
      </c>
      <c r="AG17">
        <v>132.30000000000001</v>
      </c>
      <c r="AH17">
        <v>139.30000000000001</v>
      </c>
      <c r="AI17" t="str">
        <f t="shared" si="4"/>
        <v>No</v>
      </c>
    </row>
    <row r="18" spans="1:35" x14ac:dyDescent="0.25">
      <c r="A18" t="s">
        <v>32</v>
      </c>
      <c r="B18">
        <v>2018</v>
      </c>
      <c r="C18">
        <v>1</v>
      </c>
      <c r="D18" s="13">
        <f t="shared" si="0"/>
        <v>43101</v>
      </c>
      <c r="E18">
        <v>134.6</v>
      </c>
      <c r="F18">
        <v>143.69999999999999</v>
      </c>
      <c r="G18">
        <v>143.6</v>
      </c>
      <c r="H18">
        <v>139.6</v>
      </c>
      <c r="I18">
        <v>116.4</v>
      </c>
      <c r="J18">
        <v>133.80000000000001</v>
      </c>
      <c r="K18">
        <v>150.5</v>
      </c>
      <c r="L18">
        <v>118.4</v>
      </c>
      <c r="M18">
        <v>117.3</v>
      </c>
      <c r="N18">
        <v>140.5</v>
      </c>
      <c r="O18">
        <v>125.9</v>
      </c>
      <c r="P18">
        <v>146.80000000000001</v>
      </c>
      <c r="Q18">
        <v>137.19999999999999</v>
      </c>
      <c r="R18" s="12">
        <f t="shared" si="1"/>
        <v>-2.2792022792022911E-2</v>
      </c>
      <c r="S18">
        <v>157.69999999999999</v>
      </c>
      <c r="T18">
        <v>136</v>
      </c>
      <c r="U18">
        <v>125.9</v>
      </c>
      <c r="V18">
        <v>134.4</v>
      </c>
      <c r="W18">
        <v>140.4</v>
      </c>
      <c r="X18">
        <v>127.3</v>
      </c>
      <c r="Y18" s="12">
        <f t="shared" si="2"/>
        <v>-0.10541110330288132</v>
      </c>
      <c r="Z18">
        <v>129.5</v>
      </c>
      <c r="AA18">
        <v>129</v>
      </c>
      <c r="AB18" s="12">
        <f t="shared" si="3"/>
        <v>-5.1470588235294115E-2</v>
      </c>
      <c r="AC18">
        <v>116.3</v>
      </c>
      <c r="AD18">
        <v>126.2</v>
      </c>
      <c r="AE18">
        <v>137.1</v>
      </c>
      <c r="AF18">
        <v>125.5</v>
      </c>
      <c r="AG18">
        <v>125.8</v>
      </c>
      <c r="AH18">
        <v>134.1</v>
      </c>
      <c r="AI18" t="str">
        <f t="shared" si="4"/>
        <v>No</v>
      </c>
    </row>
    <row r="19" spans="1:35" x14ac:dyDescent="0.25">
      <c r="A19" t="s">
        <v>33</v>
      </c>
      <c r="B19">
        <v>2018</v>
      </c>
      <c r="C19">
        <v>1</v>
      </c>
      <c r="D19" s="13">
        <f t="shared" si="0"/>
        <v>43101</v>
      </c>
      <c r="E19">
        <v>136</v>
      </c>
      <c r="F19">
        <v>144.19999999999999</v>
      </c>
      <c r="G19">
        <v>143.69999999999999</v>
      </c>
      <c r="H19">
        <v>141.1</v>
      </c>
      <c r="I19">
        <v>120.7</v>
      </c>
      <c r="J19">
        <v>141.30000000000001</v>
      </c>
      <c r="K19">
        <v>151.6</v>
      </c>
      <c r="L19">
        <v>127.3</v>
      </c>
      <c r="M19">
        <v>118.8</v>
      </c>
      <c r="N19">
        <v>137.5</v>
      </c>
      <c r="O19">
        <v>129</v>
      </c>
      <c r="P19">
        <v>149.5</v>
      </c>
      <c r="Q19">
        <v>139.19999999999999</v>
      </c>
      <c r="R19" s="12">
        <f t="shared" si="1"/>
        <v>1.457725947521866E-2</v>
      </c>
      <c r="S19">
        <v>154.69999999999999</v>
      </c>
      <c r="T19">
        <v>143.5</v>
      </c>
      <c r="U19">
        <v>135.5</v>
      </c>
      <c r="V19">
        <v>142.30000000000001</v>
      </c>
      <c r="W19">
        <v>140.4</v>
      </c>
      <c r="X19">
        <v>136.6</v>
      </c>
      <c r="Y19" s="12">
        <f t="shared" si="2"/>
        <v>7.3055773762765105E-2</v>
      </c>
      <c r="Z19">
        <v>134.9</v>
      </c>
      <c r="AA19">
        <v>133.30000000000001</v>
      </c>
      <c r="AB19" s="12">
        <f t="shared" si="3"/>
        <v>3.3333333333333423E-2</v>
      </c>
      <c r="AC19">
        <v>119.3</v>
      </c>
      <c r="AD19">
        <v>129.69999999999999</v>
      </c>
      <c r="AE19">
        <v>139</v>
      </c>
      <c r="AF19">
        <v>127.3</v>
      </c>
      <c r="AG19">
        <v>129.1</v>
      </c>
      <c r="AH19">
        <v>136.9</v>
      </c>
      <c r="AI19" t="str">
        <f t="shared" si="4"/>
        <v>No</v>
      </c>
    </row>
    <row r="20" spans="1:35" x14ac:dyDescent="0.25">
      <c r="A20" t="s">
        <v>30</v>
      </c>
      <c r="B20">
        <v>2019</v>
      </c>
      <c r="C20">
        <v>1</v>
      </c>
      <c r="D20" s="13">
        <f t="shared" si="0"/>
        <v>43466</v>
      </c>
      <c r="E20">
        <v>136.6</v>
      </c>
      <c r="F20">
        <v>152.5</v>
      </c>
      <c r="G20">
        <v>138.19999999999999</v>
      </c>
      <c r="H20">
        <v>142.4</v>
      </c>
      <c r="I20">
        <v>123.9</v>
      </c>
      <c r="J20">
        <v>135.5</v>
      </c>
      <c r="K20">
        <v>131.69999999999999</v>
      </c>
      <c r="L20">
        <v>121.3</v>
      </c>
      <c r="M20">
        <v>108.4</v>
      </c>
      <c r="N20">
        <v>138.9</v>
      </c>
      <c r="O20">
        <v>137</v>
      </c>
      <c r="P20">
        <v>155.80000000000001</v>
      </c>
      <c r="Q20">
        <v>137.4</v>
      </c>
      <c r="R20" s="12">
        <f t="shared" si="1"/>
        <v>-1.2931034482758499E-2</v>
      </c>
      <c r="S20">
        <v>162.69999999999999</v>
      </c>
      <c r="T20">
        <v>150.6</v>
      </c>
      <c r="U20">
        <v>145.1</v>
      </c>
      <c r="V20">
        <v>149.9</v>
      </c>
      <c r="W20" t="s">
        <v>31</v>
      </c>
      <c r="X20">
        <v>146.19999999999999</v>
      </c>
      <c r="Y20" s="12">
        <f t="shared" si="2"/>
        <v>7.0278184480234221E-2</v>
      </c>
      <c r="Z20">
        <v>150.1</v>
      </c>
      <c r="AA20">
        <v>149.6</v>
      </c>
      <c r="AB20" s="12">
        <f t="shared" si="3"/>
        <v>0.1222805701425355</v>
      </c>
      <c r="AC20">
        <v>128.6</v>
      </c>
      <c r="AD20">
        <v>142.9</v>
      </c>
      <c r="AE20">
        <v>155.19999999999999</v>
      </c>
      <c r="AF20">
        <v>133.5</v>
      </c>
      <c r="AG20">
        <v>141.69999999999999</v>
      </c>
      <c r="AH20">
        <v>141</v>
      </c>
      <c r="AI20" t="str">
        <f t="shared" si="4"/>
        <v>No</v>
      </c>
    </row>
    <row r="21" spans="1:35" x14ac:dyDescent="0.25">
      <c r="A21" t="s">
        <v>32</v>
      </c>
      <c r="B21">
        <v>2019</v>
      </c>
      <c r="C21">
        <v>1</v>
      </c>
      <c r="D21" s="13">
        <f t="shared" si="0"/>
        <v>43466</v>
      </c>
      <c r="E21">
        <v>138.30000000000001</v>
      </c>
      <c r="F21">
        <v>149.4</v>
      </c>
      <c r="G21">
        <v>143.5</v>
      </c>
      <c r="H21">
        <v>141.69999999999999</v>
      </c>
      <c r="I21">
        <v>118.1</v>
      </c>
      <c r="J21">
        <v>135.19999999999999</v>
      </c>
      <c r="K21">
        <v>130.5</v>
      </c>
      <c r="L21">
        <v>118.2</v>
      </c>
      <c r="M21">
        <v>110.4</v>
      </c>
      <c r="N21">
        <v>140.4</v>
      </c>
      <c r="O21">
        <v>128.1</v>
      </c>
      <c r="P21">
        <v>153.19999999999999</v>
      </c>
      <c r="Q21">
        <v>137.30000000000001</v>
      </c>
      <c r="R21" s="12">
        <f t="shared" si="1"/>
        <v>-7.2780203784566459E-4</v>
      </c>
      <c r="S21">
        <v>164.7</v>
      </c>
      <c r="T21">
        <v>143</v>
      </c>
      <c r="U21">
        <v>130.4</v>
      </c>
      <c r="V21">
        <v>141.1</v>
      </c>
      <c r="W21">
        <v>147.69999999999999</v>
      </c>
      <c r="X21">
        <v>128.6</v>
      </c>
      <c r="Y21" s="12">
        <f t="shared" si="2"/>
        <v>-0.12038303693570448</v>
      </c>
      <c r="Z21">
        <v>136.30000000000001</v>
      </c>
      <c r="AA21">
        <v>137.80000000000001</v>
      </c>
      <c r="AB21" s="12">
        <f t="shared" si="3"/>
        <v>-7.8877005347593468E-2</v>
      </c>
      <c r="AC21">
        <v>118.6</v>
      </c>
      <c r="AD21">
        <v>131.9</v>
      </c>
      <c r="AE21">
        <v>146.6</v>
      </c>
      <c r="AF21">
        <v>131.69999999999999</v>
      </c>
      <c r="AG21">
        <v>131.80000000000001</v>
      </c>
      <c r="AH21">
        <v>138</v>
      </c>
      <c r="AI21" t="str">
        <f t="shared" si="4"/>
        <v>No</v>
      </c>
    </row>
    <row r="22" spans="1:35" x14ac:dyDescent="0.25">
      <c r="A22" t="s">
        <v>33</v>
      </c>
      <c r="B22">
        <v>2019</v>
      </c>
      <c r="C22">
        <v>1</v>
      </c>
      <c r="D22" s="13">
        <f t="shared" si="0"/>
        <v>43466</v>
      </c>
      <c r="E22">
        <v>137.1</v>
      </c>
      <c r="F22">
        <v>151.4</v>
      </c>
      <c r="G22">
        <v>140.19999999999999</v>
      </c>
      <c r="H22">
        <v>142.1</v>
      </c>
      <c r="I22">
        <v>121.8</v>
      </c>
      <c r="J22">
        <v>135.4</v>
      </c>
      <c r="K22">
        <v>131.30000000000001</v>
      </c>
      <c r="L22">
        <v>120.3</v>
      </c>
      <c r="M22">
        <v>109.1</v>
      </c>
      <c r="N22">
        <v>139.4</v>
      </c>
      <c r="O22">
        <v>133.30000000000001</v>
      </c>
      <c r="P22">
        <v>154.6</v>
      </c>
      <c r="Q22">
        <v>137.4</v>
      </c>
      <c r="R22" s="12">
        <f t="shared" si="1"/>
        <v>7.283321194464261E-4</v>
      </c>
      <c r="S22">
        <v>163.19999999999999</v>
      </c>
      <c r="T22">
        <v>147.6</v>
      </c>
      <c r="U22">
        <v>139</v>
      </c>
      <c r="V22">
        <v>146.4</v>
      </c>
      <c r="W22">
        <v>147.69999999999999</v>
      </c>
      <c r="X22">
        <v>139.5</v>
      </c>
      <c r="Y22" s="12">
        <f t="shared" si="2"/>
        <v>8.475894245723177E-2</v>
      </c>
      <c r="Z22">
        <v>143.6</v>
      </c>
      <c r="AA22">
        <v>145.1</v>
      </c>
      <c r="AB22" s="12">
        <f t="shared" si="3"/>
        <v>5.2975326560232093E-2</v>
      </c>
      <c r="AC22">
        <v>123.3</v>
      </c>
      <c r="AD22">
        <v>136.69999999999999</v>
      </c>
      <c r="AE22">
        <v>150.19999999999999</v>
      </c>
      <c r="AF22">
        <v>132.80000000000001</v>
      </c>
      <c r="AG22">
        <v>136.9</v>
      </c>
      <c r="AH22">
        <v>139.6</v>
      </c>
      <c r="AI22" t="str">
        <f t="shared" si="4"/>
        <v>No</v>
      </c>
    </row>
    <row r="23" spans="1:35" x14ac:dyDescent="0.25">
      <c r="A23" t="s">
        <v>30</v>
      </c>
      <c r="B23">
        <v>2020</v>
      </c>
      <c r="C23">
        <v>1</v>
      </c>
      <c r="D23" s="13">
        <f t="shared" si="0"/>
        <v>43831</v>
      </c>
      <c r="E23">
        <v>143.69999999999999</v>
      </c>
      <c r="F23">
        <v>167.3</v>
      </c>
      <c r="G23">
        <v>153.5</v>
      </c>
      <c r="H23">
        <v>150.5</v>
      </c>
      <c r="I23">
        <v>132</v>
      </c>
      <c r="J23">
        <v>142.19999999999999</v>
      </c>
      <c r="K23">
        <v>191.5</v>
      </c>
      <c r="L23">
        <v>141.1</v>
      </c>
      <c r="M23">
        <v>113.8</v>
      </c>
      <c r="N23">
        <v>151.6</v>
      </c>
      <c r="O23">
        <v>139.69999999999999</v>
      </c>
      <c r="P23">
        <v>158.69999999999999</v>
      </c>
      <c r="Q23">
        <v>153</v>
      </c>
      <c r="R23" s="12">
        <f t="shared" si="1"/>
        <v>0.11353711790393009</v>
      </c>
      <c r="S23">
        <v>168.6</v>
      </c>
      <c r="T23">
        <v>152.80000000000001</v>
      </c>
      <c r="U23">
        <v>147.4</v>
      </c>
      <c r="V23">
        <v>152.1</v>
      </c>
      <c r="W23" t="s">
        <v>31</v>
      </c>
      <c r="X23">
        <v>150.4</v>
      </c>
      <c r="Y23" s="12">
        <f t="shared" si="2"/>
        <v>7.8136200716845919E-2</v>
      </c>
      <c r="Z23">
        <v>151.69999999999999</v>
      </c>
      <c r="AA23">
        <v>155.69999999999999</v>
      </c>
      <c r="AB23" s="12">
        <f t="shared" si="3"/>
        <v>7.3053066850447934E-2</v>
      </c>
      <c r="AC23">
        <v>136.30000000000001</v>
      </c>
      <c r="AD23">
        <v>150.1</v>
      </c>
      <c r="AE23">
        <v>161.69999999999999</v>
      </c>
      <c r="AF23">
        <v>142.5</v>
      </c>
      <c r="AG23">
        <v>148.1</v>
      </c>
      <c r="AH23">
        <v>151.9</v>
      </c>
      <c r="AI23" t="str">
        <f t="shared" si="4"/>
        <v>No</v>
      </c>
    </row>
    <row r="24" spans="1:35" x14ac:dyDescent="0.25">
      <c r="A24" t="s">
        <v>32</v>
      </c>
      <c r="B24">
        <v>2020</v>
      </c>
      <c r="C24">
        <v>1</v>
      </c>
      <c r="D24" s="13">
        <f t="shared" si="0"/>
        <v>43831</v>
      </c>
      <c r="E24">
        <v>145.6</v>
      </c>
      <c r="F24">
        <v>167.6</v>
      </c>
      <c r="G24">
        <v>157</v>
      </c>
      <c r="H24">
        <v>149.30000000000001</v>
      </c>
      <c r="I24">
        <v>126.3</v>
      </c>
      <c r="J24">
        <v>144.4</v>
      </c>
      <c r="K24">
        <v>207.8</v>
      </c>
      <c r="L24">
        <v>139.1</v>
      </c>
      <c r="M24">
        <v>114.8</v>
      </c>
      <c r="N24">
        <v>149.5</v>
      </c>
      <c r="O24">
        <v>131.1</v>
      </c>
      <c r="P24">
        <v>158.5</v>
      </c>
      <c r="Q24">
        <v>154.4</v>
      </c>
      <c r="R24" s="12">
        <f t="shared" si="1"/>
        <v>9.1503267973856578E-3</v>
      </c>
      <c r="S24">
        <v>170.8</v>
      </c>
      <c r="T24">
        <v>147</v>
      </c>
      <c r="U24">
        <v>133.19999999999999</v>
      </c>
      <c r="V24">
        <v>144.9</v>
      </c>
      <c r="W24">
        <v>153.9</v>
      </c>
      <c r="X24">
        <v>135.1</v>
      </c>
      <c r="Y24" s="12">
        <f t="shared" si="2"/>
        <v>-0.10172872340425539</v>
      </c>
      <c r="Z24">
        <v>140.1</v>
      </c>
      <c r="AA24">
        <v>143.80000000000001</v>
      </c>
      <c r="AB24" s="12">
        <f t="shared" si="3"/>
        <v>-7.6429030186255478E-2</v>
      </c>
      <c r="AC24">
        <v>126.1</v>
      </c>
      <c r="AD24">
        <v>137.19999999999999</v>
      </c>
      <c r="AE24">
        <v>152.1</v>
      </c>
      <c r="AF24">
        <v>142.1</v>
      </c>
      <c r="AG24">
        <v>138.4</v>
      </c>
      <c r="AH24">
        <v>148.19999999999999</v>
      </c>
      <c r="AI24" t="str">
        <f t="shared" si="4"/>
        <v>No</v>
      </c>
    </row>
    <row r="25" spans="1:35" x14ac:dyDescent="0.25">
      <c r="A25" t="s">
        <v>33</v>
      </c>
      <c r="B25">
        <v>2020</v>
      </c>
      <c r="C25">
        <v>1</v>
      </c>
      <c r="D25" s="13">
        <f t="shared" si="0"/>
        <v>43831</v>
      </c>
      <c r="E25">
        <v>144.30000000000001</v>
      </c>
      <c r="F25">
        <v>167.4</v>
      </c>
      <c r="G25">
        <v>154.9</v>
      </c>
      <c r="H25">
        <v>150.1</v>
      </c>
      <c r="I25">
        <v>129.9</v>
      </c>
      <c r="J25">
        <v>143.19999999999999</v>
      </c>
      <c r="K25">
        <v>197</v>
      </c>
      <c r="L25">
        <v>140.4</v>
      </c>
      <c r="M25">
        <v>114.1</v>
      </c>
      <c r="N25">
        <v>150.9</v>
      </c>
      <c r="O25">
        <v>136.1</v>
      </c>
      <c r="P25">
        <v>158.6</v>
      </c>
      <c r="Q25">
        <v>153.5</v>
      </c>
      <c r="R25" s="12">
        <f t="shared" si="1"/>
        <v>-5.8290155440414871E-3</v>
      </c>
      <c r="S25">
        <v>169.2</v>
      </c>
      <c r="T25">
        <v>150.5</v>
      </c>
      <c r="U25">
        <v>141.5</v>
      </c>
      <c r="V25">
        <v>149.19999999999999</v>
      </c>
      <c r="W25">
        <v>153.9</v>
      </c>
      <c r="X25">
        <v>144.6</v>
      </c>
      <c r="Y25" s="12">
        <f t="shared" si="2"/>
        <v>7.0318282753515912E-2</v>
      </c>
      <c r="Z25">
        <v>146.19999999999999</v>
      </c>
      <c r="AA25">
        <v>151.19999999999999</v>
      </c>
      <c r="AB25" s="12">
        <f t="shared" si="3"/>
        <v>5.1460361613351713E-2</v>
      </c>
      <c r="AC25">
        <v>130.9</v>
      </c>
      <c r="AD25">
        <v>142.80000000000001</v>
      </c>
      <c r="AE25">
        <v>156.1</v>
      </c>
      <c r="AF25">
        <v>142.30000000000001</v>
      </c>
      <c r="AG25">
        <v>143.4</v>
      </c>
      <c r="AH25">
        <v>150.19999999999999</v>
      </c>
      <c r="AI25" t="str">
        <f t="shared" si="4"/>
        <v>No</v>
      </c>
    </row>
    <row r="26" spans="1:35" x14ac:dyDescent="0.25">
      <c r="A26" t="s">
        <v>30</v>
      </c>
      <c r="B26">
        <v>2021</v>
      </c>
      <c r="C26">
        <v>1</v>
      </c>
      <c r="D26" s="13">
        <f t="shared" si="0"/>
        <v>44197</v>
      </c>
      <c r="E26">
        <v>143.4</v>
      </c>
      <c r="F26">
        <v>187.5</v>
      </c>
      <c r="G26">
        <v>173.4</v>
      </c>
      <c r="H26">
        <v>154</v>
      </c>
      <c r="I26">
        <v>154.80000000000001</v>
      </c>
      <c r="J26">
        <v>147</v>
      </c>
      <c r="K26">
        <v>187.8</v>
      </c>
      <c r="L26">
        <v>159.5</v>
      </c>
      <c r="M26">
        <v>113.8</v>
      </c>
      <c r="N26">
        <v>164.5</v>
      </c>
      <c r="O26">
        <v>156.1</v>
      </c>
      <c r="P26">
        <v>164.3</v>
      </c>
      <c r="Q26">
        <v>159.6</v>
      </c>
      <c r="R26" s="12">
        <f t="shared" si="1"/>
        <v>3.9739413680781724E-2</v>
      </c>
      <c r="S26">
        <v>184.6</v>
      </c>
      <c r="T26">
        <v>157.5</v>
      </c>
      <c r="U26">
        <v>152.4</v>
      </c>
      <c r="V26">
        <v>156.80000000000001</v>
      </c>
      <c r="W26" t="s">
        <v>31</v>
      </c>
      <c r="X26">
        <v>150.9</v>
      </c>
      <c r="Y26" s="12">
        <f t="shared" si="2"/>
        <v>4.3568464730290538E-2</v>
      </c>
      <c r="Z26">
        <v>153.9</v>
      </c>
      <c r="AA26">
        <v>162.5</v>
      </c>
      <c r="AB26" s="12">
        <f t="shared" si="3"/>
        <v>7.4735449735449822E-2</v>
      </c>
      <c r="AC26">
        <v>147.5</v>
      </c>
      <c r="AD26">
        <v>155.1</v>
      </c>
      <c r="AE26">
        <v>163.5</v>
      </c>
      <c r="AF26">
        <v>156.19999999999999</v>
      </c>
      <c r="AG26">
        <v>155.9</v>
      </c>
      <c r="AH26">
        <v>158.5</v>
      </c>
      <c r="AI26" t="str">
        <f t="shared" si="4"/>
        <v>No</v>
      </c>
    </row>
    <row r="27" spans="1:35" x14ac:dyDescent="0.25">
      <c r="A27" t="s">
        <v>32</v>
      </c>
      <c r="B27">
        <v>2021</v>
      </c>
      <c r="C27">
        <v>1</v>
      </c>
      <c r="D27" s="13">
        <f t="shared" si="0"/>
        <v>44197</v>
      </c>
      <c r="E27">
        <v>148</v>
      </c>
      <c r="F27">
        <v>194.8</v>
      </c>
      <c r="G27">
        <v>178.4</v>
      </c>
      <c r="H27">
        <v>154.4</v>
      </c>
      <c r="I27">
        <v>144.1</v>
      </c>
      <c r="J27">
        <v>152.6</v>
      </c>
      <c r="K27">
        <v>206.8</v>
      </c>
      <c r="L27">
        <v>162.1</v>
      </c>
      <c r="M27">
        <v>116.3</v>
      </c>
      <c r="N27">
        <v>163</v>
      </c>
      <c r="O27">
        <v>145.9</v>
      </c>
      <c r="P27">
        <v>167.2</v>
      </c>
      <c r="Q27">
        <v>163.4</v>
      </c>
      <c r="R27" s="12">
        <f t="shared" si="1"/>
        <v>2.3809523809523881E-2</v>
      </c>
      <c r="S27">
        <v>191.8</v>
      </c>
      <c r="T27">
        <v>152.5</v>
      </c>
      <c r="U27">
        <v>137.30000000000001</v>
      </c>
      <c r="V27">
        <v>150.19999999999999</v>
      </c>
      <c r="W27">
        <v>157.69999999999999</v>
      </c>
      <c r="X27">
        <v>142.9</v>
      </c>
      <c r="Y27" s="12">
        <f t="shared" si="2"/>
        <v>-5.3015241882041084E-2</v>
      </c>
      <c r="Z27">
        <v>145.69999999999999</v>
      </c>
      <c r="AA27">
        <v>154.1</v>
      </c>
      <c r="AB27" s="12">
        <f t="shared" si="3"/>
        <v>-5.1692307692307725E-2</v>
      </c>
      <c r="AC27">
        <v>136.9</v>
      </c>
      <c r="AD27">
        <v>145.4</v>
      </c>
      <c r="AE27">
        <v>156.1</v>
      </c>
      <c r="AF27">
        <v>157.69999999999999</v>
      </c>
      <c r="AG27">
        <v>147.6</v>
      </c>
      <c r="AH27">
        <v>156</v>
      </c>
      <c r="AI27" t="str">
        <f t="shared" si="4"/>
        <v>Yes</v>
      </c>
    </row>
    <row r="28" spans="1:35" x14ac:dyDescent="0.25">
      <c r="A28" t="s">
        <v>33</v>
      </c>
      <c r="B28">
        <v>2021</v>
      </c>
      <c r="C28">
        <v>1</v>
      </c>
      <c r="D28" s="13">
        <f t="shared" si="0"/>
        <v>44197</v>
      </c>
      <c r="E28">
        <v>144.9</v>
      </c>
      <c r="F28">
        <v>190.1</v>
      </c>
      <c r="G28">
        <v>175.3</v>
      </c>
      <c r="H28">
        <v>154.1</v>
      </c>
      <c r="I28">
        <v>150.9</v>
      </c>
      <c r="J28">
        <v>149.6</v>
      </c>
      <c r="K28">
        <v>194.2</v>
      </c>
      <c r="L28">
        <v>160.4</v>
      </c>
      <c r="M28">
        <v>114.6</v>
      </c>
      <c r="N28">
        <v>164</v>
      </c>
      <c r="O28">
        <v>151.80000000000001</v>
      </c>
      <c r="P28">
        <v>165.6</v>
      </c>
      <c r="Q28">
        <v>161</v>
      </c>
      <c r="R28" s="12">
        <f t="shared" si="1"/>
        <v>-1.468788249694006E-2</v>
      </c>
      <c r="S28">
        <v>186.5</v>
      </c>
      <c r="T28">
        <v>155.5</v>
      </c>
      <c r="U28">
        <v>146.1</v>
      </c>
      <c r="V28">
        <v>154.19999999999999</v>
      </c>
      <c r="W28">
        <v>157.69999999999999</v>
      </c>
      <c r="X28">
        <v>147.9</v>
      </c>
      <c r="Y28" s="12">
        <f t="shared" si="2"/>
        <v>3.498950314905528E-2</v>
      </c>
      <c r="Z28">
        <v>150</v>
      </c>
      <c r="AA28">
        <v>159.30000000000001</v>
      </c>
      <c r="AB28" s="12">
        <f t="shared" si="3"/>
        <v>3.3744321868916398E-2</v>
      </c>
      <c r="AC28">
        <v>141.9</v>
      </c>
      <c r="AD28">
        <v>149.6</v>
      </c>
      <c r="AE28">
        <v>159.19999999999999</v>
      </c>
      <c r="AF28">
        <v>156.80000000000001</v>
      </c>
      <c r="AG28">
        <v>151.9</v>
      </c>
      <c r="AH28">
        <v>157.30000000000001</v>
      </c>
      <c r="AI28" t="str">
        <f t="shared" si="4"/>
        <v>No</v>
      </c>
    </row>
    <row r="29" spans="1:35" x14ac:dyDescent="0.25">
      <c r="A29" t="s">
        <v>30</v>
      </c>
      <c r="B29">
        <v>2022</v>
      </c>
      <c r="C29">
        <v>1</v>
      </c>
      <c r="D29" s="13">
        <f t="shared" si="0"/>
        <v>44562</v>
      </c>
      <c r="E29">
        <v>148.30000000000001</v>
      </c>
      <c r="F29">
        <v>196.9</v>
      </c>
      <c r="G29">
        <v>178</v>
      </c>
      <c r="H29">
        <v>160.5</v>
      </c>
      <c r="I29">
        <v>192.6</v>
      </c>
      <c r="J29">
        <v>151.19999999999999</v>
      </c>
      <c r="K29">
        <v>159.19999999999999</v>
      </c>
      <c r="L29">
        <v>164</v>
      </c>
      <c r="M29">
        <v>119.3</v>
      </c>
      <c r="N29">
        <v>173.3</v>
      </c>
      <c r="O29">
        <v>169.8</v>
      </c>
      <c r="P29">
        <v>175.8</v>
      </c>
      <c r="Q29">
        <v>164.1</v>
      </c>
      <c r="R29" s="12">
        <f t="shared" si="1"/>
        <v>1.9254658385093132E-2</v>
      </c>
      <c r="S29">
        <v>190.7</v>
      </c>
      <c r="T29">
        <v>173.2</v>
      </c>
      <c r="U29">
        <v>169.3</v>
      </c>
      <c r="V29">
        <v>172.7</v>
      </c>
      <c r="W29" t="s">
        <v>31</v>
      </c>
      <c r="X29">
        <v>165.8</v>
      </c>
      <c r="Y29" s="12">
        <f t="shared" si="2"/>
        <v>0.12102772143340099</v>
      </c>
      <c r="Z29">
        <v>164.9</v>
      </c>
      <c r="AA29">
        <v>174.7</v>
      </c>
      <c r="AB29" s="12">
        <f t="shared" si="3"/>
        <v>9.6672944130571106E-2</v>
      </c>
      <c r="AC29">
        <v>160.80000000000001</v>
      </c>
      <c r="AD29">
        <v>164.9</v>
      </c>
      <c r="AE29">
        <v>169.9</v>
      </c>
      <c r="AF29">
        <v>163.19999999999999</v>
      </c>
      <c r="AG29">
        <v>166.6</v>
      </c>
      <c r="AH29">
        <v>166.4</v>
      </c>
      <c r="AI29" t="str">
        <f t="shared" si="4"/>
        <v>Yes</v>
      </c>
    </row>
    <row r="30" spans="1:35" x14ac:dyDescent="0.25">
      <c r="A30" t="s">
        <v>32</v>
      </c>
      <c r="B30">
        <v>2022</v>
      </c>
      <c r="C30">
        <v>1</v>
      </c>
      <c r="D30" s="13">
        <f t="shared" si="0"/>
        <v>44562</v>
      </c>
      <c r="E30">
        <v>152.19999999999999</v>
      </c>
      <c r="F30">
        <v>202.1</v>
      </c>
      <c r="G30">
        <v>180.1</v>
      </c>
      <c r="H30">
        <v>160.4</v>
      </c>
      <c r="I30">
        <v>171</v>
      </c>
      <c r="J30">
        <v>156.5</v>
      </c>
      <c r="K30">
        <v>203.6</v>
      </c>
      <c r="L30">
        <v>163.80000000000001</v>
      </c>
      <c r="M30">
        <v>121.3</v>
      </c>
      <c r="N30">
        <v>169.8</v>
      </c>
      <c r="O30">
        <v>156.6</v>
      </c>
      <c r="P30">
        <v>179</v>
      </c>
      <c r="Q30">
        <v>170.3</v>
      </c>
      <c r="R30" s="12">
        <f t="shared" si="1"/>
        <v>3.7781840341255438E-2</v>
      </c>
      <c r="S30">
        <v>196.4</v>
      </c>
      <c r="T30">
        <v>164.7</v>
      </c>
      <c r="U30">
        <v>148.5</v>
      </c>
      <c r="V30">
        <v>162.19999999999999</v>
      </c>
      <c r="W30">
        <v>164.5</v>
      </c>
      <c r="X30">
        <v>161.6</v>
      </c>
      <c r="Y30" s="12">
        <f t="shared" si="2"/>
        <v>-2.5331724969843285E-2</v>
      </c>
      <c r="Z30">
        <v>156.80000000000001</v>
      </c>
      <c r="AA30">
        <v>166.1</v>
      </c>
      <c r="AB30" s="12">
        <f t="shared" si="3"/>
        <v>-4.9227246708643362E-2</v>
      </c>
      <c r="AC30">
        <v>152.69999999999999</v>
      </c>
      <c r="AD30">
        <v>158.4</v>
      </c>
      <c r="AE30">
        <v>161</v>
      </c>
      <c r="AF30">
        <v>162.80000000000001</v>
      </c>
      <c r="AG30">
        <v>158.6</v>
      </c>
      <c r="AH30">
        <v>165</v>
      </c>
      <c r="AI30" t="str">
        <f t="shared" si="4"/>
        <v>Yes</v>
      </c>
    </row>
    <row r="31" spans="1:35" x14ac:dyDescent="0.25">
      <c r="A31" t="s">
        <v>33</v>
      </c>
      <c r="B31">
        <v>2022</v>
      </c>
      <c r="C31">
        <v>1</v>
      </c>
      <c r="D31" s="13">
        <f t="shared" si="0"/>
        <v>44562</v>
      </c>
      <c r="E31">
        <v>149.5</v>
      </c>
      <c r="F31">
        <v>198.7</v>
      </c>
      <c r="G31">
        <v>178.8</v>
      </c>
      <c r="H31">
        <v>160.5</v>
      </c>
      <c r="I31">
        <v>184.7</v>
      </c>
      <c r="J31">
        <v>153.69999999999999</v>
      </c>
      <c r="K31">
        <v>174.3</v>
      </c>
      <c r="L31">
        <v>163.9</v>
      </c>
      <c r="M31">
        <v>120</v>
      </c>
      <c r="N31">
        <v>172.1</v>
      </c>
      <c r="O31">
        <v>164.3</v>
      </c>
      <c r="P31">
        <v>177.3</v>
      </c>
      <c r="Q31">
        <v>166.4</v>
      </c>
      <c r="R31" s="12">
        <f t="shared" si="1"/>
        <v>-2.2900763358778657E-2</v>
      </c>
      <c r="S31">
        <v>192.2</v>
      </c>
      <c r="T31">
        <v>169.9</v>
      </c>
      <c r="U31">
        <v>160.69999999999999</v>
      </c>
      <c r="V31">
        <v>168.5</v>
      </c>
      <c r="W31">
        <v>164.5</v>
      </c>
      <c r="X31">
        <v>164.2</v>
      </c>
      <c r="Y31" s="12">
        <f t="shared" si="2"/>
        <v>1.6089108910891055E-2</v>
      </c>
      <c r="Z31">
        <v>161.1</v>
      </c>
      <c r="AA31">
        <v>171.4</v>
      </c>
      <c r="AB31" s="12">
        <f t="shared" si="3"/>
        <v>3.1908488862131316E-2</v>
      </c>
      <c r="AC31">
        <v>156.5</v>
      </c>
      <c r="AD31">
        <v>161.19999999999999</v>
      </c>
      <c r="AE31">
        <v>164.7</v>
      </c>
      <c r="AF31">
        <v>163</v>
      </c>
      <c r="AG31">
        <v>162.69999999999999</v>
      </c>
      <c r="AH31">
        <v>165.7</v>
      </c>
      <c r="AI31" t="str">
        <f t="shared" si="4"/>
        <v>Yes</v>
      </c>
    </row>
    <row r="32" spans="1:35" x14ac:dyDescent="0.25">
      <c r="A32" t="s">
        <v>30</v>
      </c>
      <c r="B32">
        <v>2023</v>
      </c>
      <c r="C32">
        <v>1</v>
      </c>
      <c r="D32" s="13">
        <f t="shared" si="0"/>
        <v>44927</v>
      </c>
      <c r="E32">
        <v>174</v>
      </c>
      <c r="F32">
        <v>208.3</v>
      </c>
      <c r="G32">
        <v>192.9</v>
      </c>
      <c r="H32">
        <v>174.3</v>
      </c>
      <c r="I32">
        <v>192.6</v>
      </c>
      <c r="J32">
        <v>156.30000000000001</v>
      </c>
      <c r="K32">
        <v>142.9</v>
      </c>
      <c r="L32">
        <v>170.7</v>
      </c>
      <c r="M32">
        <v>120.3</v>
      </c>
      <c r="N32">
        <v>210.5</v>
      </c>
      <c r="O32">
        <v>176.9</v>
      </c>
      <c r="P32">
        <v>188.5</v>
      </c>
      <c r="Q32">
        <v>175</v>
      </c>
      <c r="R32" s="12">
        <f t="shared" si="1"/>
        <v>5.168269230769227E-2</v>
      </c>
      <c r="S32">
        <v>196.9</v>
      </c>
      <c r="T32">
        <v>189</v>
      </c>
      <c r="U32">
        <v>186.3</v>
      </c>
      <c r="V32">
        <v>188.6</v>
      </c>
      <c r="W32" t="s">
        <v>31</v>
      </c>
      <c r="X32">
        <v>183.2</v>
      </c>
      <c r="Y32" s="12">
        <f t="shared" si="2"/>
        <v>0.11571254567600488</v>
      </c>
      <c r="Z32">
        <v>177.2</v>
      </c>
      <c r="AA32">
        <v>184.7</v>
      </c>
      <c r="AB32" s="12">
        <f t="shared" si="3"/>
        <v>7.7596266044340625E-2</v>
      </c>
      <c r="AC32">
        <v>168.2</v>
      </c>
      <c r="AD32">
        <v>171.8</v>
      </c>
      <c r="AE32">
        <v>177.8</v>
      </c>
      <c r="AF32">
        <v>178.4</v>
      </c>
      <c r="AG32">
        <v>176.5</v>
      </c>
      <c r="AH32">
        <v>177.8</v>
      </c>
      <c r="AI32" t="str">
        <f t="shared" si="4"/>
        <v>No</v>
      </c>
    </row>
    <row r="33" spans="1:35" x14ac:dyDescent="0.25">
      <c r="A33" t="s">
        <v>32</v>
      </c>
      <c r="B33">
        <v>2023</v>
      </c>
      <c r="C33">
        <v>1</v>
      </c>
      <c r="D33" s="13">
        <f t="shared" si="0"/>
        <v>44927</v>
      </c>
      <c r="E33">
        <v>173.3</v>
      </c>
      <c r="F33">
        <v>215.2</v>
      </c>
      <c r="G33">
        <v>197</v>
      </c>
      <c r="H33">
        <v>175.2</v>
      </c>
      <c r="I33">
        <v>178</v>
      </c>
      <c r="J33">
        <v>160.5</v>
      </c>
      <c r="K33">
        <v>175.3</v>
      </c>
      <c r="L33">
        <v>171.2</v>
      </c>
      <c r="M33">
        <v>122.7</v>
      </c>
      <c r="N33">
        <v>204.3</v>
      </c>
      <c r="O33">
        <v>163.69999999999999</v>
      </c>
      <c r="P33">
        <v>194.3</v>
      </c>
      <c r="Q33">
        <v>179.5</v>
      </c>
      <c r="R33" s="12">
        <f t="shared" si="1"/>
        <v>2.5714285714285714E-2</v>
      </c>
      <c r="S33">
        <v>201.6</v>
      </c>
      <c r="T33">
        <v>178.7</v>
      </c>
      <c r="U33">
        <v>165.3</v>
      </c>
      <c r="V33">
        <v>176.6</v>
      </c>
      <c r="W33">
        <v>172.1</v>
      </c>
      <c r="X33">
        <v>180.1</v>
      </c>
      <c r="Y33" s="12">
        <f t="shared" si="2"/>
        <v>-1.6921397379912634E-2</v>
      </c>
      <c r="Z33">
        <v>168</v>
      </c>
      <c r="AA33">
        <v>178.5</v>
      </c>
      <c r="AB33" s="12">
        <f t="shared" si="3"/>
        <v>-3.3567948023822354E-2</v>
      </c>
      <c r="AC33">
        <v>159.5</v>
      </c>
      <c r="AD33">
        <v>167.8</v>
      </c>
      <c r="AE33">
        <v>171.8</v>
      </c>
      <c r="AF33">
        <v>178.8</v>
      </c>
      <c r="AG33">
        <v>168.9</v>
      </c>
      <c r="AH33">
        <v>174.9</v>
      </c>
      <c r="AI33" t="str">
        <f t="shared" si="4"/>
        <v>Yes</v>
      </c>
    </row>
    <row r="34" spans="1:35" x14ac:dyDescent="0.25">
      <c r="A34" t="s">
        <v>33</v>
      </c>
      <c r="B34">
        <v>2023</v>
      </c>
      <c r="C34">
        <v>1</v>
      </c>
      <c r="D34" s="13">
        <f t="shared" si="0"/>
        <v>44927</v>
      </c>
      <c r="E34">
        <v>173.8</v>
      </c>
      <c r="F34">
        <v>210.7</v>
      </c>
      <c r="G34">
        <v>194.5</v>
      </c>
      <c r="H34">
        <v>174.6</v>
      </c>
      <c r="I34">
        <v>187.2</v>
      </c>
      <c r="J34">
        <v>158.30000000000001</v>
      </c>
      <c r="K34">
        <v>153.9</v>
      </c>
      <c r="L34">
        <v>170.9</v>
      </c>
      <c r="M34">
        <v>121.1</v>
      </c>
      <c r="N34">
        <v>208.4</v>
      </c>
      <c r="O34">
        <v>171.4</v>
      </c>
      <c r="P34">
        <v>191.2</v>
      </c>
      <c r="Q34">
        <v>176.7</v>
      </c>
      <c r="R34" s="12">
        <f t="shared" si="1"/>
        <v>-1.559888579387193E-2</v>
      </c>
      <c r="S34">
        <v>198.2</v>
      </c>
      <c r="T34">
        <v>184.9</v>
      </c>
      <c r="U34">
        <v>177.6</v>
      </c>
      <c r="V34">
        <v>183.8</v>
      </c>
      <c r="W34">
        <v>172.1</v>
      </c>
      <c r="X34">
        <v>182</v>
      </c>
      <c r="Y34" s="12">
        <f t="shared" si="2"/>
        <v>1.0549694614103308E-2</v>
      </c>
      <c r="Z34">
        <v>172.9</v>
      </c>
      <c r="AA34">
        <v>182.3</v>
      </c>
      <c r="AB34" s="12">
        <f t="shared" si="3"/>
        <v>2.1288515406162528E-2</v>
      </c>
      <c r="AC34">
        <v>163.6</v>
      </c>
      <c r="AD34">
        <v>169.5</v>
      </c>
      <c r="AE34">
        <v>174.3</v>
      </c>
      <c r="AF34">
        <v>178.6</v>
      </c>
      <c r="AG34">
        <v>172.8</v>
      </c>
      <c r="AH34">
        <v>176.5</v>
      </c>
      <c r="AI34" t="str">
        <f t="shared" si="4"/>
        <v>Yes</v>
      </c>
    </row>
    <row r="35" spans="1:35" x14ac:dyDescent="0.25">
      <c r="A35" t="s">
        <v>30</v>
      </c>
      <c r="B35">
        <v>2013</v>
      </c>
      <c r="C35">
        <v>2</v>
      </c>
      <c r="D35" s="13">
        <f t="shared" si="0"/>
        <v>41306</v>
      </c>
      <c r="E35">
        <v>109.2</v>
      </c>
      <c r="F35">
        <v>108.7</v>
      </c>
      <c r="G35">
        <v>110.2</v>
      </c>
      <c r="H35">
        <v>105.4</v>
      </c>
      <c r="I35">
        <v>106.7</v>
      </c>
      <c r="J35">
        <v>104</v>
      </c>
      <c r="K35">
        <v>102.4</v>
      </c>
      <c r="L35">
        <v>105.9</v>
      </c>
      <c r="M35">
        <v>105.7</v>
      </c>
      <c r="N35">
        <v>103.1</v>
      </c>
      <c r="O35">
        <v>105.1</v>
      </c>
      <c r="P35">
        <v>107.7</v>
      </c>
      <c r="Q35">
        <v>106.3</v>
      </c>
      <c r="R35" s="12">
        <f t="shared" si="1"/>
        <v>-0.3984153933220147</v>
      </c>
      <c r="S35">
        <v>105.6</v>
      </c>
      <c r="T35">
        <v>107.1</v>
      </c>
      <c r="U35">
        <v>106.3</v>
      </c>
      <c r="V35">
        <v>107</v>
      </c>
      <c r="W35" t="s">
        <v>31</v>
      </c>
      <c r="X35">
        <v>106.2</v>
      </c>
      <c r="Y35" s="12">
        <f t="shared" si="2"/>
        <v>-0.41648351648351645</v>
      </c>
      <c r="Z35">
        <v>105.2</v>
      </c>
      <c r="AA35">
        <v>104.4</v>
      </c>
      <c r="AB35" s="12">
        <f t="shared" si="3"/>
        <v>-0.42731760833790455</v>
      </c>
      <c r="AC35">
        <v>103.9</v>
      </c>
      <c r="AD35">
        <v>104</v>
      </c>
      <c r="AE35">
        <v>104.1</v>
      </c>
      <c r="AF35">
        <v>104.6</v>
      </c>
      <c r="AG35">
        <v>104.4</v>
      </c>
      <c r="AH35">
        <v>105.8</v>
      </c>
      <c r="AI35" t="str">
        <f t="shared" si="4"/>
        <v>No</v>
      </c>
    </row>
    <row r="36" spans="1:35" x14ac:dyDescent="0.25">
      <c r="A36" t="s">
        <v>32</v>
      </c>
      <c r="B36">
        <v>2013</v>
      </c>
      <c r="C36">
        <v>2</v>
      </c>
      <c r="D36" s="13">
        <f t="shared" si="0"/>
        <v>41306</v>
      </c>
      <c r="E36">
        <v>112.9</v>
      </c>
      <c r="F36">
        <v>112.9</v>
      </c>
      <c r="G36">
        <v>116.9</v>
      </c>
      <c r="H36">
        <v>104</v>
      </c>
      <c r="I36">
        <v>103.5</v>
      </c>
      <c r="J36">
        <v>103.1</v>
      </c>
      <c r="K36">
        <v>104.9</v>
      </c>
      <c r="L36">
        <v>104.1</v>
      </c>
      <c r="M36">
        <v>103.8</v>
      </c>
      <c r="N36">
        <v>102.3</v>
      </c>
      <c r="O36">
        <v>106</v>
      </c>
      <c r="P36">
        <v>109</v>
      </c>
      <c r="Q36">
        <v>107.2</v>
      </c>
      <c r="R36" s="12">
        <f t="shared" si="1"/>
        <v>8.4666039510818969E-3</v>
      </c>
      <c r="S36">
        <v>106</v>
      </c>
      <c r="T36">
        <v>106.6</v>
      </c>
      <c r="U36">
        <v>105.5</v>
      </c>
      <c r="V36">
        <v>106.4</v>
      </c>
      <c r="W36">
        <v>100.4</v>
      </c>
      <c r="X36">
        <v>105.7</v>
      </c>
      <c r="Y36" s="12">
        <f t="shared" si="2"/>
        <v>-4.7080979284369112E-3</v>
      </c>
      <c r="Z36">
        <v>105.2</v>
      </c>
      <c r="AA36">
        <v>104.7</v>
      </c>
      <c r="AB36" s="12">
        <f t="shared" si="3"/>
        <v>2.8735632183907772E-3</v>
      </c>
      <c r="AC36">
        <v>104.4</v>
      </c>
      <c r="AD36">
        <v>103.3</v>
      </c>
      <c r="AE36">
        <v>103.7</v>
      </c>
      <c r="AF36">
        <v>104.3</v>
      </c>
      <c r="AG36">
        <v>104.3</v>
      </c>
      <c r="AH36">
        <v>104.7</v>
      </c>
      <c r="AI36" t="str">
        <f t="shared" si="4"/>
        <v>No</v>
      </c>
    </row>
    <row r="37" spans="1:35" x14ac:dyDescent="0.25">
      <c r="A37" t="s">
        <v>33</v>
      </c>
      <c r="B37">
        <v>2013</v>
      </c>
      <c r="C37">
        <v>2</v>
      </c>
      <c r="D37" s="13">
        <f t="shared" si="0"/>
        <v>41306</v>
      </c>
      <c r="E37">
        <v>110.4</v>
      </c>
      <c r="F37">
        <v>110.2</v>
      </c>
      <c r="G37">
        <v>112.8</v>
      </c>
      <c r="H37">
        <v>104.9</v>
      </c>
      <c r="I37">
        <v>105.5</v>
      </c>
      <c r="J37">
        <v>103.6</v>
      </c>
      <c r="K37">
        <v>103.2</v>
      </c>
      <c r="L37">
        <v>105.3</v>
      </c>
      <c r="M37">
        <v>105.1</v>
      </c>
      <c r="N37">
        <v>102.8</v>
      </c>
      <c r="O37">
        <v>105.5</v>
      </c>
      <c r="P37">
        <v>108.3</v>
      </c>
      <c r="Q37">
        <v>106.6</v>
      </c>
      <c r="R37" s="12">
        <f t="shared" si="1"/>
        <v>-5.5970149253732138E-3</v>
      </c>
      <c r="S37">
        <v>105.7</v>
      </c>
      <c r="T37">
        <v>106.9</v>
      </c>
      <c r="U37">
        <v>106</v>
      </c>
      <c r="V37">
        <v>106.8</v>
      </c>
      <c r="W37">
        <v>100.4</v>
      </c>
      <c r="X37">
        <v>106</v>
      </c>
      <c r="Y37" s="12">
        <f t="shared" si="2"/>
        <v>2.838221381267712E-3</v>
      </c>
      <c r="Z37">
        <v>105.2</v>
      </c>
      <c r="AA37">
        <v>104.5</v>
      </c>
      <c r="AB37" s="12">
        <f t="shared" si="3"/>
        <v>-1.9102196752626823E-3</v>
      </c>
      <c r="AC37">
        <v>104.2</v>
      </c>
      <c r="AD37">
        <v>103.6</v>
      </c>
      <c r="AE37">
        <v>103.9</v>
      </c>
      <c r="AF37">
        <v>104.5</v>
      </c>
      <c r="AG37">
        <v>104.4</v>
      </c>
      <c r="AH37">
        <v>105.3</v>
      </c>
      <c r="AI37" t="str">
        <f t="shared" si="4"/>
        <v>No</v>
      </c>
    </row>
    <row r="38" spans="1:35" x14ac:dyDescent="0.25">
      <c r="A38" t="s">
        <v>30</v>
      </c>
      <c r="B38">
        <v>2014</v>
      </c>
      <c r="C38">
        <v>2</v>
      </c>
      <c r="D38" s="13">
        <f t="shared" si="0"/>
        <v>41671</v>
      </c>
      <c r="E38">
        <v>119.4</v>
      </c>
      <c r="F38">
        <v>117.7</v>
      </c>
      <c r="G38">
        <v>121.2</v>
      </c>
      <c r="H38">
        <v>115</v>
      </c>
      <c r="I38">
        <v>109</v>
      </c>
      <c r="J38">
        <v>116.6</v>
      </c>
      <c r="K38">
        <v>116</v>
      </c>
      <c r="L38">
        <v>109.8</v>
      </c>
      <c r="M38">
        <v>101.1</v>
      </c>
      <c r="N38">
        <v>110.4</v>
      </c>
      <c r="O38">
        <v>112.9</v>
      </c>
      <c r="P38">
        <v>117.8</v>
      </c>
      <c r="Q38">
        <v>115.3</v>
      </c>
      <c r="R38" s="12">
        <f t="shared" si="1"/>
        <v>8.1613508442776761E-2</v>
      </c>
      <c r="S38">
        <v>114.2</v>
      </c>
      <c r="T38">
        <v>117.1</v>
      </c>
      <c r="U38">
        <v>114.5</v>
      </c>
      <c r="V38">
        <v>116.7</v>
      </c>
      <c r="W38" t="s">
        <v>31</v>
      </c>
      <c r="X38">
        <v>113.2</v>
      </c>
      <c r="Y38" s="12">
        <f t="shared" si="2"/>
        <v>6.7924528301886819E-2</v>
      </c>
      <c r="Z38">
        <v>112.9</v>
      </c>
      <c r="AA38">
        <v>110.9</v>
      </c>
      <c r="AB38" s="12">
        <f t="shared" si="3"/>
        <v>6.1244019138756038E-2</v>
      </c>
      <c r="AC38">
        <v>110.8</v>
      </c>
      <c r="AD38">
        <v>109.9</v>
      </c>
      <c r="AE38">
        <v>112</v>
      </c>
      <c r="AF38">
        <v>108.7</v>
      </c>
      <c r="AG38">
        <v>110.9</v>
      </c>
      <c r="AH38">
        <v>114</v>
      </c>
      <c r="AI38" t="str">
        <f t="shared" si="4"/>
        <v>No</v>
      </c>
    </row>
    <row r="39" spans="1:35" x14ac:dyDescent="0.25">
      <c r="A39" t="s">
        <v>32</v>
      </c>
      <c r="B39">
        <v>2014</v>
      </c>
      <c r="C39">
        <v>2</v>
      </c>
      <c r="D39" s="13">
        <f t="shared" si="0"/>
        <v>41671</v>
      </c>
      <c r="E39">
        <v>121.9</v>
      </c>
      <c r="F39">
        <v>122</v>
      </c>
      <c r="G39">
        <v>124.5</v>
      </c>
      <c r="H39">
        <v>115.2</v>
      </c>
      <c r="I39">
        <v>102.5</v>
      </c>
      <c r="J39">
        <v>114.1</v>
      </c>
      <c r="K39">
        <v>111.5</v>
      </c>
      <c r="L39">
        <v>108.2</v>
      </c>
      <c r="M39">
        <v>95.4</v>
      </c>
      <c r="N39">
        <v>113.5</v>
      </c>
      <c r="O39">
        <v>112.1</v>
      </c>
      <c r="P39">
        <v>119.9</v>
      </c>
      <c r="Q39">
        <v>115.2</v>
      </c>
      <c r="R39" s="12">
        <f t="shared" si="1"/>
        <v>-8.6730268863828553E-4</v>
      </c>
      <c r="S39">
        <v>116.2</v>
      </c>
      <c r="T39">
        <v>115.3</v>
      </c>
      <c r="U39">
        <v>111.7</v>
      </c>
      <c r="V39">
        <v>114.7</v>
      </c>
      <c r="W39">
        <v>112.5</v>
      </c>
      <c r="X39">
        <v>111.1</v>
      </c>
      <c r="Y39" s="12">
        <f t="shared" si="2"/>
        <v>-1.8551236749116684E-2</v>
      </c>
      <c r="Z39">
        <v>112.6</v>
      </c>
      <c r="AA39">
        <v>110.4</v>
      </c>
      <c r="AB39" s="12">
        <f t="shared" si="3"/>
        <v>-4.508566275924256E-3</v>
      </c>
      <c r="AC39">
        <v>111.3</v>
      </c>
      <c r="AD39">
        <v>110.3</v>
      </c>
      <c r="AE39">
        <v>111.6</v>
      </c>
      <c r="AF39">
        <v>108.7</v>
      </c>
      <c r="AG39">
        <v>111</v>
      </c>
      <c r="AH39">
        <v>113.1</v>
      </c>
      <c r="AI39" t="str">
        <f t="shared" si="4"/>
        <v>No</v>
      </c>
    </row>
    <row r="40" spans="1:35" x14ac:dyDescent="0.25">
      <c r="A40" t="s">
        <v>33</v>
      </c>
      <c r="B40">
        <v>2014</v>
      </c>
      <c r="C40">
        <v>2</v>
      </c>
      <c r="D40" s="13">
        <f t="shared" si="0"/>
        <v>41671</v>
      </c>
      <c r="E40">
        <v>120.2</v>
      </c>
      <c r="F40">
        <v>119.2</v>
      </c>
      <c r="G40">
        <v>122.5</v>
      </c>
      <c r="H40">
        <v>115.1</v>
      </c>
      <c r="I40">
        <v>106.6</v>
      </c>
      <c r="J40">
        <v>115.4</v>
      </c>
      <c r="K40">
        <v>114.5</v>
      </c>
      <c r="L40">
        <v>109.3</v>
      </c>
      <c r="M40">
        <v>99.2</v>
      </c>
      <c r="N40">
        <v>111.4</v>
      </c>
      <c r="O40">
        <v>112.6</v>
      </c>
      <c r="P40">
        <v>118.8</v>
      </c>
      <c r="Q40">
        <v>115.3</v>
      </c>
      <c r="R40" s="12">
        <f t="shared" si="1"/>
        <v>8.6805555555550618E-4</v>
      </c>
      <c r="S40">
        <v>114.7</v>
      </c>
      <c r="T40">
        <v>116.4</v>
      </c>
      <c r="U40">
        <v>113.3</v>
      </c>
      <c r="V40">
        <v>115.9</v>
      </c>
      <c r="W40">
        <v>112.5</v>
      </c>
      <c r="X40">
        <v>112.4</v>
      </c>
      <c r="Y40" s="12">
        <f t="shared" si="2"/>
        <v>1.1701170117011803E-2</v>
      </c>
      <c r="Z40">
        <v>112.8</v>
      </c>
      <c r="AA40">
        <v>110.7</v>
      </c>
      <c r="AB40" s="12">
        <f t="shared" si="3"/>
        <v>2.7173913043478E-3</v>
      </c>
      <c r="AC40">
        <v>111.1</v>
      </c>
      <c r="AD40">
        <v>110.1</v>
      </c>
      <c r="AE40">
        <v>111.8</v>
      </c>
      <c r="AF40">
        <v>108.7</v>
      </c>
      <c r="AG40">
        <v>110.9</v>
      </c>
      <c r="AH40">
        <v>113.6</v>
      </c>
      <c r="AI40" t="str">
        <f t="shared" si="4"/>
        <v>No</v>
      </c>
    </row>
    <row r="41" spans="1:35" x14ac:dyDescent="0.25">
      <c r="A41" t="s">
        <v>30</v>
      </c>
      <c r="B41">
        <v>2015</v>
      </c>
      <c r="C41">
        <v>2</v>
      </c>
      <c r="D41" s="13">
        <f t="shared" si="0"/>
        <v>42036</v>
      </c>
      <c r="E41">
        <v>123.4</v>
      </c>
      <c r="F41">
        <v>124.4</v>
      </c>
      <c r="G41">
        <v>122.1</v>
      </c>
      <c r="H41">
        <v>125.8</v>
      </c>
      <c r="I41">
        <v>111.5</v>
      </c>
      <c r="J41">
        <v>129.4</v>
      </c>
      <c r="K41">
        <v>128.19999999999999</v>
      </c>
      <c r="L41">
        <v>118.8</v>
      </c>
      <c r="M41">
        <v>100</v>
      </c>
      <c r="N41">
        <v>118.6</v>
      </c>
      <c r="O41">
        <v>118.8</v>
      </c>
      <c r="P41">
        <v>126.8</v>
      </c>
      <c r="Q41">
        <v>122.8</v>
      </c>
      <c r="R41" s="12">
        <f t="shared" si="1"/>
        <v>6.5047701647875114E-2</v>
      </c>
      <c r="S41">
        <v>124.2</v>
      </c>
      <c r="T41">
        <v>125.4</v>
      </c>
      <c r="U41">
        <v>122.7</v>
      </c>
      <c r="V41">
        <v>125</v>
      </c>
      <c r="W41" t="s">
        <v>31</v>
      </c>
      <c r="X41">
        <v>120</v>
      </c>
      <c r="Y41" s="12">
        <f t="shared" si="2"/>
        <v>6.7615658362989273E-2</v>
      </c>
      <c r="Z41">
        <v>119.6</v>
      </c>
      <c r="AA41">
        <v>117.7</v>
      </c>
      <c r="AB41" s="12">
        <f t="shared" si="3"/>
        <v>6.3233965672990056E-2</v>
      </c>
      <c r="AC41">
        <v>110.9</v>
      </c>
      <c r="AD41">
        <v>114.8</v>
      </c>
      <c r="AE41">
        <v>118.7</v>
      </c>
      <c r="AF41">
        <v>110.8</v>
      </c>
      <c r="AG41">
        <v>115</v>
      </c>
      <c r="AH41">
        <v>120.6</v>
      </c>
      <c r="AI41" t="str">
        <f t="shared" si="4"/>
        <v>No</v>
      </c>
    </row>
    <row r="42" spans="1:35" x14ac:dyDescent="0.25">
      <c r="A42" t="s">
        <v>32</v>
      </c>
      <c r="B42">
        <v>2015</v>
      </c>
      <c r="C42">
        <v>2</v>
      </c>
      <c r="D42" s="13">
        <f t="shared" si="0"/>
        <v>42036</v>
      </c>
      <c r="E42">
        <v>124.3</v>
      </c>
      <c r="F42">
        <v>126.5</v>
      </c>
      <c r="G42">
        <v>119.5</v>
      </c>
      <c r="H42">
        <v>125.6</v>
      </c>
      <c r="I42">
        <v>104.9</v>
      </c>
      <c r="J42">
        <v>121.6</v>
      </c>
      <c r="K42">
        <v>131.80000000000001</v>
      </c>
      <c r="L42">
        <v>125.1</v>
      </c>
      <c r="M42">
        <v>95</v>
      </c>
      <c r="N42">
        <v>127.7</v>
      </c>
      <c r="O42">
        <v>116.8</v>
      </c>
      <c r="P42">
        <v>128.6</v>
      </c>
      <c r="Q42">
        <v>123.7</v>
      </c>
      <c r="R42" s="12">
        <f t="shared" si="1"/>
        <v>7.3289902280130759E-3</v>
      </c>
      <c r="S42">
        <v>128.1</v>
      </c>
      <c r="T42">
        <v>121.3</v>
      </c>
      <c r="U42">
        <v>116.5</v>
      </c>
      <c r="V42">
        <v>120.6</v>
      </c>
      <c r="W42">
        <v>118.1</v>
      </c>
      <c r="X42">
        <v>114</v>
      </c>
      <c r="Y42" s="12">
        <f t="shared" si="2"/>
        <v>-0.05</v>
      </c>
      <c r="Z42">
        <v>117.7</v>
      </c>
      <c r="AA42">
        <v>114.1</v>
      </c>
      <c r="AB42" s="12">
        <f t="shared" si="3"/>
        <v>-3.0586236193712903E-2</v>
      </c>
      <c r="AC42">
        <v>106.8</v>
      </c>
      <c r="AD42">
        <v>114.9</v>
      </c>
      <c r="AE42">
        <v>120.4</v>
      </c>
      <c r="AF42">
        <v>111.7</v>
      </c>
      <c r="AG42">
        <v>113.2</v>
      </c>
      <c r="AH42">
        <v>118.7</v>
      </c>
      <c r="AI42" t="str">
        <f t="shared" si="4"/>
        <v>No</v>
      </c>
    </row>
    <row r="43" spans="1:35" x14ac:dyDescent="0.25">
      <c r="A43" t="s">
        <v>33</v>
      </c>
      <c r="B43">
        <v>2015</v>
      </c>
      <c r="C43">
        <v>2</v>
      </c>
      <c r="D43" s="13">
        <f t="shared" si="0"/>
        <v>42036</v>
      </c>
      <c r="E43">
        <v>123.7</v>
      </c>
      <c r="F43">
        <v>125.1</v>
      </c>
      <c r="G43">
        <v>121.1</v>
      </c>
      <c r="H43">
        <v>125.7</v>
      </c>
      <c r="I43">
        <v>109.1</v>
      </c>
      <c r="J43">
        <v>125.8</v>
      </c>
      <c r="K43">
        <v>129.4</v>
      </c>
      <c r="L43">
        <v>120.9</v>
      </c>
      <c r="M43">
        <v>98.3</v>
      </c>
      <c r="N43">
        <v>121.6</v>
      </c>
      <c r="O43">
        <v>118</v>
      </c>
      <c r="P43">
        <v>127.6</v>
      </c>
      <c r="Q43">
        <v>123.1</v>
      </c>
      <c r="R43" s="12">
        <f t="shared" si="1"/>
        <v>-4.8504446240906106E-3</v>
      </c>
      <c r="S43">
        <v>125.2</v>
      </c>
      <c r="T43">
        <v>123.8</v>
      </c>
      <c r="U43">
        <v>120.1</v>
      </c>
      <c r="V43">
        <v>123.3</v>
      </c>
      <c r="W43">
        <v>118.1</v>
      </c>
      <c r="X43">
        <v>117.7</v>
      </c>
      <c r="Y43" s="12">
        <f t="shared" si="2"/>
        <v>3.2456140350877218E-2</v>
      </c>
      <c r="Z43">
        <v>118.7</v>
      </c>
      <c r="AA43">
        <v>116.3</v>
      </c>
      <c r="AB43" s="12">
        <f t="shared" si="3"/>
        <v>1.9281332164767774E-2</v>
      </c>
      <c r="AC43">
        <v>108.7</v>
      </c>
      <c r="AD43">
        <v>114.9</v>
      </c>
      <c r="AE43">
        <v>119.7</v>
      </c>
      <c r="AF43">
        <v>111.2</v>
      </c>
      <c r="AG43">
        <v>114.1</v>
      </c>
      <c r="AH43">
        <v>119.7</v>
      </c>
      <c r="AI43" t="str">
        <f t="shared" si="4"/>
        <v>No</v>
      </c>
    </row>
    <row r="44" spans="1:35" x14ac:dyDescent="0.25">
      <c r="A44" t="s">
        <v>30</v>
      </c>
      <c r="B44">
        <v>2016</v>
      </c>
      <c r="C44">
        <v>2</v>
      </c>
      <c r="D44" s="13">
        <f t="shared" si="0"/>
        <v>42401</v>
      </c>
      <c r="E44">
        <v>127.1</v>
      </c>
      <c r="F44">
        <v>133.69999999999999</v>
      </c>
      <c r="G44">
        <v>127.7</v>
      </c>
      <c r="H44">
        <v>130.69999999999999</v>
      </c>
      <c r="I44">
        <v>118.5</v>
      </c>
      <c r="J44">
        <v>130.4</v>
      </c>
      <c r="K44">
        <v>130.9</v>
      </c>
      <c r="L44">
        <v>162.80000000000001</v>
      </c>
      <c r="M44">
        <v>98.7</v>
      </c>
      <c r="N44">
        <v>130.6</v>
      </c>
      <c r="O44">
        <v>124.8</v>
      </c>
      <c r="P44">
        <v>136.4</v>
      </c>
      <c r="Q44">
        <v>130.30000000000001</v>
      </c>
      <c r="R44" s="12">
        <f t="shared" si="1"/>
        <v>5.8489033306255218E-2</v>
      </c>
      <c r="S44">
        <v>134.4</v>
      </c>
      <c r="T44">
        <v>133.9</v>
      </c>
      <c r="U44">
        <v>129.80000000000001</v>
      </c>
      <c r="V44">
        <v>133.4</v>
      </c>
      <c r="W44" t="s">
        <v>31</v>
      </c>
      <c r="X44">
        <v>127.5</v>
      </c>
      <c r="Y44" s="12">
        <f t="shared" si="2"/>
        <v>8.3262531860662681E-2</v>
      </c>
      <c r="Z44">
        <v>127.1</v>
      </c>
      <c r="AA44">
        <v>124.3</v>
      </c>
      <c r="AB44" s="12">
        <f t="shared" si="3"/>
        <v>6.878761822871883E-2</v>
      </c>
      <c r="AC44">
        <v>113.9</v>
      </c>
      <c r="AD44">
        <v>122.3</v>
      </c>
      <c r="AE44">
        <v>127.1</v>
      </c>
      <c r="AF44">
        <v>116.8</v>
      </c>
      <c r="AG44">
        <v>120.9</v>
      </c>
      <c r="AH44">
        <v>127.9</v>
      </c>
      <c r="AI44" t="str">
        <f t="shared" si="4"/>
        <v>No</v>
      </c>
    </row>
    <row r="45" spans="1:35" x14ac:dyDescent="0.25">
      <c r="A45" t="s">
        <v>32</v>
      </c>
      <c r="B45">
        <v>2016</v>
      </c>
      <c r="C45">
        <v>2</v>
      </c>
      <c r="D45" s="13">
        <f t="shared" si="0"/>
        <v>42401</v>
      </c>
      <c r="E45">
        <v>124.8</v>
      </c>
      <c r="F45">
        <v>135.1</v>
      </c>
      <c r="G45">
        <v>130.30000000000001</v>
      </c>
      <c r="H45">
        <v>129.6</v>
      </c>
      <c r="I45">
        <v>108.4</v>
      </c>
      <c r="J45">
        <v>118.6</v>
      </c>
      <c r="K45">
        <v>129.19999999999999</v>
      </c>
      <c r="L45">
        <v>176.4</v>
      </c>
      <c r="M45">
        <v>99.1</v>
      </c>
      <c r="N45">
        <v>139.69999999999999</v>
      </c>
      <c r="O45">
        <v>120.6</v>
      </c>
      <c r="P45">
        <v>135.19999999999999</v>
      </c>
      <c r="Q45">
        <v>129.1</v>
      </c>
      <c r="R45" s="12">
        <f t="shared" si="1"/>
        <v>-9.2095165003838603E-3</v>
      </c>
      <c r="S45">
        <v>140</v>
      </c>
      <c r="T45">
        <v>126.2</v>
      </c>
      <c r="U45">
        <v>120.1</v>
      </c>
      <c r="V45">
        <v>125.3</v>
      </c>
      <c r="W45">
        <v>124.4</v>
      </c>
      <c r="X45">
        <v>116</v>
      </c>
      <c r="Y45" s="12">
        <f t="shared" si="2"/>
        <v>-9.0196078431372548E-2</v>
      </c>
      <c r="Z45">
        <v>121.8</v>
      </c>
      <c r="AA45">
        <v>119.5</v>
      </c>
      <c r="AB45" s="12">
        <f t="shared" si="3"/>
        <v>-3.8616251005631513E-2</v>
      </c>
      <c r="AC45">
        <v>109.1</v>
      </c>
      <c r="AD45">
        <v>118.8</v>
      </c>
      <c r="AE45">
        <v>126.3</v>
      </c>
      <c r="AF45">
        <v>116.2</v>
      </c>
      <c r="AG45">
        <v>117.2</v>
      </c>
      <c r="AH45">
        <v>123.8</v>
      </c>
      <c r="AI45" t="str">
        <f t="shared" si="4"/>
        <v>No</v>
      </c>
    </row>
    <row r="46" spans="1:35" x14ac:dyDescent="0.25">
      <c r="A46" t="s">
        <v>33</v>
      </c>
      <c r="B46">
        <v>2016</v>
      </c>
      <c r="C46">
        <v>2</v>
      </c>
      <c r="D46" s="13">
        <f t="shared" si="0"/>
        <v>42401</v>
      </c>
      <c r="E46">
        <v>126.4</v>
      </c>
      <c r="F46">
        <v>134.19999999999999</v>
      </c>
      <c r="G46">
        <v>128.69999999999999</v>
      </c>
      <c r="H46">
        <v>130.30000000000001</v>
      </c>
      <c r="I46">
        <v>114.8</v>
      </c>
      <c r="J46">
        <v>124.9</v>
      </c>
      <c r="K46">
        <v>130.30000000000001</v>
      </c>
      <c r="L46">
        <v>167.4</v>
      </c>
      <c r="M46">
        <v>98.8</v>
      </c>
      <c r="N46">
        <v>133.6</v>
      </c>
      <c r="O46">
        <v>123</v>
      </c>
      <c r="P46">
        <v>135.80000000000001</v>
      </c>
      <c r="Q46">
        <v>129.9</v>
      </c>
      <c r="R46" s="12">
        <f t="shared" si="1"/>
        <v>6.1967467079783994E-3</v>
      </c>
      <c r="S46">
        <v>135.9</v>
      </c>
      <c r="T46">
        <v>130.9</v>
      </c>
      <c r="U46">
        <v>125.8</v>
      </c>
      <c r="V46">
        <v>130.19999999999999</v>
      </c>
      <c r="W46">
        <v>124.4</v>
      </c>
      <c r="X46">
        <v>123.1</v>
      </c>
      <c r="Y46" s="12">
        <f t="shared" si="2"/>
        <v>6.1206896551724087E-2</v>
      </c>
      <c r="Z46">
        <v>124.6</v>
      </c>
      <c r="AA46">
        <v>122.5</v>
      </c>
      <c r="AB46" s="12">
        <f t="shared" si="3"/>
        <v>2.5104602510460251E-2</v>
      </c>
      <c r="AC46">
        <v>111.4</v>
      </c>
      <c r="AD46">
        <v>120.3</v>
      </c>
      <c r="AE46">
        <v>126.6</v>
      </c>
      <c r="AF46">
        <v>116.6</v>
      </c>
      <c r="AG46">
        <v>119.1</v>
      </c>
      <c r="AH46">
        <v>126</v>
      </c>
      <c r="AI46" t="str">
        <f t="shared" si="4"/>
        <v>No</v>
      </c>
    </row>
    <row r="47" spans="1:35" x14ac:dyDescent="0.25">
      <c r="A47" t="s">
        <v>30</v>
      </c>
      <c r="B47">
        <v>2017</v>
      </c>
      <c r="C47">
        <v>2</v>
      </c>
      <c r="D47" s="13">
        <f t="shared" si="0"/>
        <v>42767</v>
      </c>
      <c r="E47">
        <v>133.30000000000001</v>
      </c>
      <c r="F47">
        <v>138.30000000000001</v>
      </c>
      <c r="G47">
        <v>129.30000000000001</v>
      </c>
      <c r="H47">
        <v>137.19999999999999</v>
      </c>
      <c r="I47">
        <v>122.1</v>
      </c>
      <c r="J47">
        <v>138.69999999999999</v>
      </c>
      <c r="K47">
        <v>119.1</v>
      </c>
      <c r="L47">
        <v>156.9</v>
      </c>
      <c r="M47">
        <v>116.2</v>
      </c>
      <c r="N47">
        <v>136</v>
      </c>
      <c r="O47">
        <v>129.4</v>
      </c>
      <c r="P47">
        <v>144.4</v>
      </c>
      <c r="Q47">
        <v>133.6</v>
      </c>
      <c r="R47" s="12">
        <f t="shared" si="1"/>
        <v>2.8483448806774354E-2</v>
      </c>
      <c r="S47">
        <v>143.69999999999999</v>
      </c>
      <c r="T47">
        <v>140.9</v>
      </c>
      <c r="U47">
        <v>135.80000000000001</v>
      </c>
      <c r="V47">
        <v>140.19999999999999</v>
      </c>
      <c r="W47" t="s">
        <v>31</v>
      </c>
      <c r="X47">
        <v>133.19999999999999</v>
      </c>
      <c r="Y47" s="12">
        <f t="shared" si="2"/>
        <v>8.2047116165718886E-2</v>
      </c>
      <c r="Z47">
        <v>133.6</v>
      </c>
      <c r="AA47">
        <v>130.1</v>
      </c>
      <c r="AB47" s="12">
        <f t="shared" si="3"/>
        <v>6.2040816326530565E-2</v>
      </c>
      <c r="AC47">
        <v>119.5</v>
      </c>
      <c r="AD47">
        <v>127.7</v>
      </c>
      <c r="AE47">
        <v>134.9</v>
      </c>
      <c r="AF47">
        <v>123.2</v>
      </c>
      <c r="AG47">
        <v>127</v>
      </c>
      <c r="AH47">
        <v>132.6</v>
      </c>
      <c r="AI47" t="str">
        <f t="shared" si="4"/>
        <v>No</v>
      </c>
    </row>
    <row r="48" spans="1:35" x14ac:dyDescent="0.25">
      <c r="A48" t="s">
        <v>32</v>
      </c>
      <c r="B48">
        <v>2017</v>
      </c>
      <c r="C48">
        <v>2</v>
      </c>
      <c r="D48" s="13">
        <f t="shared" si="0"/>
        <v>42767</v>
      </c>
      <c r="E48">
        <v>132.80000000000001</v>
      </c>
      <c r="F48">
        <v>139.80000000000001</v>
      </c>
      <c r="G48">
        <v>129.30000000000001</v>
      </c>
      <c r="H48">
        <v>133.5</v>
      </c>
      <c r="I48">
        <v>114.3</v>
      </c>
      <c r="J48">
        <v>131.4</v>
      </c>
      <c r="K48">
        <v>120.2</v>
      </c>
      <c r="L48">
        <v>143.1</v>
      </c>
      <c r="M48">
        <v>119.5</v>
      </c>
      <c r="N48">
        <v>144</v>
      </c>
      <c r="O48">
        <v>123.4</v>
      </c>
      <c r="P48">
        <v>141.9</v>
      </c>
      <c r="Q48">
        <v>132.1</v>
      </c>
      <c r="R48" s="12">
        <f t="shared" si="1"/>
        <v>-1.1227544910179641E-2</v>
      </c>
      <c r="S48">
        <v>146.30000000000001</v>
      </c>
      <c r="T48">
        <v>130.5</v>
      </c>
      <c r="U48">
        <v>122.5</v>
      </c>
      <c r="V48">
        <v>129.30000000000001</v>
      </c>
      <c r="W48">
        <v>130.5</v>
      </c>
      <c r="X48">
        <v>119.2</v>
      </c>
      <c r="Y48" s="12">
        <f t="shared" si="2"/>
        <v>-0.10510510510510501</v>
      </c>
      <c r="Z48">
        <v>125.3</v>
      </c>
      <c r="AA48">
        <v>122.9</v>
      </c>
      <c r="AB48" s="12">
        <f t="shared" si="3"/>
        <v>-5.5342044581091383E-2</v>
      </c>
      <c r="AC48">
        <v>115.5</v>
      </c>
      <c r="AD48">
        <v>122.2</v>
      </c>
      <c r="AE48">
        <v>132.4</v>
      </c>
      <c r="AF48">
        <v>121.7</v>
      </c>
      <c r="AG48">
        <v>122.4</v>
      </c>
      <c r="AH48">
        <v>128.19999999999999</v>
      </c>
      <c r="AI48" t="str">
        <f t="shared" si="4"/>
        <v>No</v>
      </c>
    </row>
    <row r="49" spans="1:35" x14ac:dyDescent="0.25">
      <c r="A49" t="s">
        <v>33</v>
      </c>
      <c r="B49">
        <v>2017</v>
      </c>
      <c r="C49">
        <v>2</v>
      </c>
      <c r="D49" s="13">
        <f t="shared" si="0"/>
        <v>42767</v>
      </c>
      <c r="E49">
        <v>133.1</v>
      </c>
      <c r="F49">
        <v>138.80000000000001</v>
      </c>
      <c r="G49">
        <v>129.30000000000001</v>
      </c>
      <c r="H49">
        <v>135.80000000000001</v>
      </c>
      <c r="I49">
        <v>119.2</v>
      </c>
      <c r="J49">
        <v>135.30000000000001</v>
      </c>
      <c r="K49">
        <v>119.5</v>
      </c>
      <c r="L49">
        <v>152.19999999999999</v>
      </c>
      <c r="M49">
        <v>117.3</v>
      </c>
      <c r="N49">
        <v>138.69999999999999</v>
      </c>
      <c r="O49">
        <v>126.9</v>
      </c>
      <c r="P49">
        <v>143.19999999999999</v>
      </c>
      <c r="Q49">
        <v>133</v>
      </c>
      <c r="R49" s="12">
        <f t="shared" si="1"/>
        <v>6.8130204390613605E-3</v>
      </c>
      <c r="S49">
        <v>144.4</v>
      </c>
      <c r="T49">
        <v>136.80000000000001</v>
      </c>
      <c r="U49">
        <v>130.30000000000001</v>
      </c>
      <c r="V49">
        <v>135.9</v>
      </c>
      <c r="W49">
        <v>130.5</v>
      </c>
      <c r="X49">
        <v>127.9</v>
      </c>
      <c r="Y49" s="12">
        <f t="shared" si="2"/>
        <v>7.2986577181208073E-2</v>
      </c>
      <c r="Z49">
        <v>129.69999999999999</v>
      </c>
      <c r="AA49">
        <v>127.4</v>
      </c>
      <c r="AB49" s="12">
        <f t="shared" si="3"/>
        <v>3.6615134255492267E-2</v>
      </c>
      <c r="AC49">
        <v>117.4</v>
      </c>
      <c r="AD49">
        <v>124.6</v>
      </c>
      <c r="AE49">
        <v>133.4</v>
      </c>
      <c r="AF49">
        <v>122.6</v>
      </c>
      <c r="AG49">
        <v>124.8</v>
      </c>
      <c r="AH49">
        <v>130.6</v>
      </c>
      <c r="AI49" t="str">
        <f t="shared" si="4"/>
        <v>No</v>
      </c>
    </row>
    <row r="50" spans="1:35" x14ac:dyDescent="0.25">
      <c r="A50" t="s">
        <v>30</v>
      </c>
      <c r="B50">
        <v>2018</v>
      </c>
      <c r="C50">
        <v>2</v>
      </c>
      <c r="D50" s="13">
        <f t="shared" si="0"/>
        <v>43132</v>
      </c>
      <c r="E50">
        <v>136.4</v>
      </c>
      <c r="F50">
        <v>143.69999999999999</v>
      </c>
      <c r="G50">
        <v>140.6</v>
      </c>
      <c r="H50">
        <v>141.5</v>
      </c>
      <c r="I50">
        <v>122.9</v>
      </c>
      <c r="J50">
        <v>149.4</v>
      </c>
      <c r="K50">
        <v>142.4</v>
      </c>
      <c r="L50">
        <v>130.19999999999999</v>
      </c>
      <c r="M50">
        <v>117.9</v>
      </c>
      <c r="N50">
        <v>135.6</v>
      </c>
      <c r="O50">
        <v>130.5</v>
      </c>
      <c r="P50">
        <v>151.69999999999999</v>
      </c>
      <c r="Q50">
        <v>138.69999999999999</v>
      </c>
      <c r="R50" s="12">
        <f t="shared" si="1"/>
        <v>4.2857142857142774E-2</v>
      </c>
      <c r="S50">
        <v>153.30000000000001</v>
      </c>
      <c r="T50">
        <v>148.69999999999999</v>
      </c>
      <c r="U50">
        <v>142.4</v>
      </c>
      <c r="V50">
        <v>147.80000000000001</v>
      </c>
      <c r="W50" t="s">
        <v>31</v>
      </c>
      <c r="X50">
        <v>142.4</v>
      </c>
      <c r="Y50" s="12">
        <f t="shared" si="2"/>
        <v>0.11336982017200938</v>
      </c>
      <c r="Z50">
        <v>139.9</v>
      </c>
      <c r="AA50">
        <v>136.19999999999999</v>
      </c>
      <c r="AB50" s="12">
        <f t="shared" si="3"/>
        <v>6.9073783359497515E-2</v>
      </c>
      <c r="AC50">
        <v>123.3</v>
      </c>
      <c r="AD50">
        <v>134.30000000000001</v>
      </c>
      <c r="AE50">
        <v>141.5</v>
      </c>
      <c r="AF50">
        <v>128.80000000000001</v>
      </c>
      <c r="AG50">
        <v>132.5</v>
      </c>
      <c r="AH50">
        <v>138.5</v>
      </c>
      <c r="AI50" t="str">
        <f t="shared" si="4"/>
        <v>No</v>
      </c>
    </row>
    <row r="51" spans="1:35" x14ac:dyDescent="0.25">
      <c r="A51" t="s">
        <v>32</v>
      </c>
      <c r="B51">
        <v>2018</v>
      </c>
      <c r="C51">
        <v>2</v>
      </c>
      <c r="D51" s="13">
        <f t="shared" si="0"/>
        <v>43132</v>
      </c>
      <c r="E51">
        <v>134.80000000000001</v>
      </c>
      <c r="F51">
        <v>143</v>
      </c>
      <c r="G51">
        <v>139.9</v>
      </c>
      <c r="H51">
        <v>139.9</v>
      </c>
      <c r="I51">
        <v>116.2</v>
      </c>
      <c r="J51">
        <v>135.5</v>
      </c>
      <c r="K51">
        <v>136.9</v>
      </c>
      <c r="L51">
        <v>117</v>
      </c>
      <c r="M51">
        <v>115.4</v>
      </c>
      <c r="N51">
        <v>140.69999999999999</v>
      </c>
      <c r="O51">
        <v>125.9</v>
      </c>
      <c r="P51">
        <v>147.1</v>
      </c>
      <c r="Q51">
        <v>135.6</v>
      </c>
      <c r="R51" s="12">
        <f t="shared" si="1"/>
        <v>-2.23503965392934E-2</v>
      </c>
      <c r="S51">
        <v>159.30000000000001</v>
      </c>
      <c r="T51">
        <v>136.30000000000001</v>
      </c>
      <c r="U51">
        <v>126.1</v>
      </c>
      <c r="V51">
        <v>134.69999999999999</v>
      </c>
      <c r="W51">
        <v>141.30000000000001</v>
      </c>
      <c r="X51">
        <v>127.3</v>
      </c>
      <c r="Y51" s="12">
        <f t="shared" si="2"/>
        <v>-0.10603932584269668</v>
      </c>
      <c r="Z51">
        <v>129.9</v>
      </c>
      <c r="AA51">
        <v>129.80000000000001</v>
      </c>
      <c r="AB51" s="12">
        <f t="shared" si="3"/>
        <v>-4.6989720998531409E-2</v>
      </c>
      <c r="AC51">
        <v>117.4</v>
      </c>
      <c r="AD51">
        <v>126.5</v>
      </c>
      <c r="AE51">
        <v>137.19999999999999</v>
      </c>
      <c r="AF51">
        <v>126.2</v>
      </c>
      <c r="AG51">
        <v>126.5</v>
      </c>
      <c r="AH51">
        <v>134</v>
      </c>
      <c r="AI51" t="str">
        <f t="shared" si="4"/>
        <v>No</v>
      </c>
    </row>
    <row r="52" spans="1:35" x14ac:dyDescent="0.25">
      <c r="A52" t="s">
        <v>33</v>
      </c>
      <c r="B52">
        <v>2018</v>
      </c>
      <c r="C52">
        <v>2</v>
      </c>
      <c r="D52" s="13">
        <f t="shared" si="0"/>
        <v>43132</v>
      </c>
      <c r="E52">
        <v>135.9</v>
      </c>
      <c r="F52">
        <v>143.5</v>
      </c>
      <c r="G52">
        <v>140.30000000000001</v>
      </c>
      <c r="H52">
        <v>140.9</v>
      </c>
      <c r="I52">
        <v>120.4</v>
      </c>
      <c r="J52">
        <v>142.9</v>
      </c>
      <c r="K52">
        <v>140.5</v>
      </c>
      <c r="L52">
        <v>125.8</v>
      </c>
      <c r="M52">
        <v>117.1</v>
      </c>
      <c r="N52">
        <v>137.30000000000001</v>
      </c>
      <c r="O52">
        <v>128.6</v>
      </c>
      <c r="P52">
        <v>149.6</v>
      </c>
      <c r="Q52">
        <v>137.6</v>
      </c>
      <c r="R52" s="12">
        <f t="shared" si="1"/>
        <v>1.4749262536873156E-2</v>
      </c>
      <c r="S52">
        <v>154.9</v>
      </c>
      <c r="T52">
        <v>143.80000000000001</v>
      </c>
      <c r="U52">
        <v>135.6</v>
      </c>
      <c r="V52">
        <v>142.6</v>
      </c>
      <c r="W52">
        <v>141.30000000000001</v>
      </c>
      <c r="X52">
        <v>136.69999999999999</v>
      </c>
      <c r="Y52" s="12">
        <f t="shared" si="2"/>
        <v>7.3841319717203396E-2</v>
      </c>
      <c r="Z52">
        <v>135.19999999999999</v>
      </c>
      <c r="AA52">
        <v>133.80000000000001</v>
      </c>
      <c r="AB52" s="12">
        <f t="shared" si="3"/>
        <v>3.0816640986132508E-2</v>
      </c>
      <c r="AC52">
        <v>120.2</v>
      </c>
      <c r="AD52">
        <v>129.9</v>
      </c>
      <c r="AE52">
        <v>139</v>
      </c>
      <c r="AF52">
        <v>127.7</v>
      </c>
      <c r="AG52">
        <v>129.6</v>
      </c>
      <c r="AH52">
        <v>136.4</v>
      </c>
      <c r="AI52" t="str">
        <f t="shared" si="4"/>
        <v>No</v>
      </c>
    </row>
    <row r="53" spans="1:35" x14ac:dyDescent="0.25">
      <c r="A53" t="s">
        <v>30</v>
      </c>
      <c r="B53">
        <v>2019</v>
      </c>
      <c r="C53">
        <v>2</v>
      </c>
      <c r="D53" s="13">
        <f t="shared" si="0"/>
        <v>43497</v>
      </c>
      <c r="E53">
        <v>136.80000000000001</v>
      </c>
      <c r="F53">
        <v>153</v>
      </c>
      <c r="G53">
        <v>139.1</v>
      </c>
      <c r="H53">
        <v>142.5</v>
      </c>
      <c r="I53">
        <v>124.1</v>
      </c>
      <c r="J53">
        <v>135.80000000000001</v>
      </c>
      <c r="K53">
        <v>128.69999999999999</v>
      </c>
      <c r="L53">
        <v>121.5</v>
      </c>
      <c r="M53">
        <v>108.3</v>
      </c>
      <c r="N53">
        <v>139.19999999999999</v>
      </c>
      <c r="O53">
        <v>137.4</v>
      </c>
      <c r="P53">
        <v>156.19999999999999</v>
      </c>
      <c r="Q53">
        <v>137.19999999999999</v>
      </c>
      <c r="R53" s="12">
        <f t="shared" si="1"/>
        <v>-2.9069767441860881E-3</v>
      </c>
      <c r="S53">
        <v>162.80000000000001</v>
      </c>
      <c r="T53">
        <v>150.5</v>
      </c>
      <c r="U53">
        <v>146.1</v>
      </c>
      <c r="V53">
        <v>149.9</v>
      </c>
      <c r="W53" t="s">
        <v>31</v>
      </c>
      <c r="X53">
        <v>145.30000000000001</v>
      </c>
      <c r="Y53" s="12">
        <f t="shared" si="2"/>
        <v>6.2911485003657813E-2</v>
      </c>
      <c r="Z53">
        <v>150.1</v>
      </c>
      <c r="AA53">
        <v>149.9</v>
      </c>
      <c r="AB53" s="12">
        <f t="shared" si="3"/>
        <v>0.12032884902840055</v>
      </c>
      <c r="AC53">
        <v>129.19999999999999</v>
      </c>
      <c r="AD53">
        <v>143.4</v>
      </c>
      <c r="AE53">
        <v>155.5</v>
      </c>
      <c r="AF53">
        <v>134.9</v>
      </c>
      <c r="AG53">
        <v>142.19999999999999</v>
      </c>
      <c r="AH53">
        <v>141</v>
      </c>
      <c r="AI53" t="str">
        <f t="shared" si="4"/>
        <v>No</v>
      </c>
    </row>
    <row r="54" spans="1:35" x14ac:dyDescent="0.25">
      <c r="A54" t="s">
        <v>32</v>
      </c>
      <c r="B54">
        <v>2019</v>
      </c>
      <c r="C54">
        <v>2</v>
      </c>
      <c r="D54" s="13">
        <f t="shared" si="0"/>
        <v>43497</v>
      </c>
      <c r="E54">
        <v>139.4</v>
      </c>
      <c r="F54">
        <v>150.1</v>
      </c>
      <c r="G54">
        <v>145.30000000000001</v>
      </c>
      <c r="H54">
        <v>141.69999999999999</v>
      </c>
      <c r="I54">
        <v>118.4</v>
      </c>
      <c r="J54">
        <v>137</v>
      </c>
      <c r="K54">
        <v>131.6</v>
      </c>
      <c r="L54">
        <v>119.9</v>
      </c>
      <c r="M54">
        <v>110.4</v>
      </c>
      <c r="N54">
        <v>140.80000000000001</v>
      </c>
      <c r="O54">
        <v>128.30000000000001</v>
      </c>
      <c r="P54">
        <v>153.5</v>
      </c>
      <c r="Q54">
        <v>138</v>
      </c>
      <c r="R54" s="12">
        <f t="shared" si="1"/>
        <v>5.8309037900875467E-3</v>
      </c>
      <c r="S54">
        <v>164.9</v>
      </c>
      <c r="T54">
        <v>143.30000000000001</v>
      </c>
      <c r="U54">
        <v>130.80000000000001</v>
      </c>
      <c r="V54">
        <v>141.4</v>
      </c>
      <c r="W54">
        <v>148.5</v>
      </c>
      <c r="X54">
        <v>127.1</v>
      </c>
      <c r="Y54" s="12">
        <f t="shared" si="2"/>
        <v>-0.12525808671713706</v>
      </c>
      <c r="Z54">
        <v>136.6</v>
      </c>
      <c r="AA54">
        <v>138.5</v>
      </c>
      <c r="AB54" s="12">
        <f t="shared" si="3"/>
        <v>-7.6050700466978025E-2</v>
      </c>
      <c r="AC54">
        <v>119.2</v>
      </c>
      <c r="AD54">
        <v>132.19999999999999</v>
      </c>
      <c r="AE54">
        <v>146.6</v>
      </c>
      <c r="AF54">
        <v>133</v>
      </c>
      <c r="AG54">
        <v>132.4</v>
      </c>
      <c r="AH54">
        <v>138.6</v>
      </c>
      <c r="AI54" t="str">
        <f t="shared" si="4"/>
        <v>No</v>
      </c>
    </row>
    <row r="55" spans="1:35" x14ac:dyDescent="0.25">
      <c r="A55" t="s">
        <v>33</v>
      </c>
      <c r="B55">
        <v>2019</v>
      </c>
      <c r="C55">
        <v>2</v>
      </c>
      <c r="D55" s="13">
        <f t="shared" si="0"/>
        <v>43497</v>
      </c>
      <c r="E55">
        <v>137.6</v>
      </c>
      <c r="F55">
        <v>152</v>
      </c>
      <c r="G55">
        <v>141.5</v>
      </c>
      <c r="H55">
        <v>142.19999999999999</v>
      </c>
      <c r="I55">
        <v>122</v>
      </c>
      <c r="J55">
        <v>136.4</v>
      </c>
      <c r="K55">
        <v>129.69999999999999</v>
      </c>
      <c r="L55">
        <v>121</v>
      </c>
      <c r="M55">
        <v>109</v>
      </c>
      <c r="N55">
        <v>139.69999999999999</v>
      </c>
      <c r="O55">
        <v>133.6</v>
      </c>
      <c r="P55">
        <v>154.9</v>
      </c>
      <c r="Q55">
        <v>137.5</v>
      </c>
      <c r="R55" s="12">
        <f t="shared" si="1"/>
        <v>-3.6231884057971015E-3</v>
      </c>
      <c r="S55">
        <v>163.4</v>
      </c>
      <c r="T55">
        <v>147.69999999999999</v>
      </c>
      <c r="U55">
        <v>139.69999999999999</v>
      </c>
      <c r="V55">
        <v>146.5</v>
      </c>
      <c r="W55">
        <v>148.5</v>
      </c>
      <c r="X55">
        <v>138.4</v>
      </c>
      <c r="Y55" s="12">
        <f t="shared" si="2"/>
        <v>8.8906372934697178E-2</v>
      </c>
      <c r="Z55">
        <v>143.69999999999999</v>
      </c>
      <c r="AA55">
        <v>145.6</v>
      </c>
      <c r="AB55" s="12">
        <f t="shared" si="3"/>
        <v>5.1263537906137142E-2</v>
      </c>
      <c r="AC55">
        <v>123.9</v>
      </c>
      <c r="AD55">
        <v>137.1</v>
      </c>
      <c r="AE55">
        <v>150.30000000000001</v>
      </c>
      <c r="AF55">
        <v>134.1</v>
      </c>
      <c r="AG55">
        <v>137.4</v>
      </c>
      <c r="AH55">
        <v>139.9</v>
      </c>
      <c r="AI55" t="str">
        <f t="shared" si="4"/>
        <v>No</v>
      </c>
    </row>
    <row r="56" spans="1:35" x14ac:dyDescent="0.25">
      <c r="A56" t="s">
        <v>30</v>
      </c>
      <c r="B56">
        <v>2020</v>
      </c>
      <c r="C56">
        <v>2</v>
      </c>
      <c r="D56" s="13">
        <f t="shared" si="0"/>
        <v>43862</v>
      </c>
      <c r="E56">
        <v>144.19999999999999</v>
      </c>
      <c r="F56">
        <v>167.5</v>
      </c>
      <c r="G56">
        <v>150.9</v>
      </c>
      <c r="H56">
        <v>150.9</v>
      </c>
      <c r="I56">
        <v>133.69999999999999</v>
      </c>
      <c r="J56">
        <v>140.69999999999999</v>
      </c>
      <c r="K56">
        <v>165.1</v>
      </c>
      <c r="L56">
        <v>141.80000000000001</v>
      </c>
      <c r="M56">
        <v>113.1</v>
      </c>
      <c r="N56">
        <v>152.80000000000001</v>
      </c>
      <c r="O56">
        <v>140.1</v>
      </c>
      <c r="P56">
        <v>159.19999999999999</v>
      </c>
      <c r="Q56">
        <v>149.80000000000001</v>
      </c>
      <c r="R56" s="12">
        <f t="shared" si="1"/>
        <v>8.9454545454545537E-2</v>
      </c>
      <c r="S56">
        <v>169.4</v>
      </c>
      <c r="T56">
        <v>153</v>
      </c>
      <c r="U56">
        <v>147.5</v>
      </c>
      <c r="V56">
        <v>152.30000000000001</v>
      </c>
      <c r="W56" t="s">
        <v>31</v>
      </c>
      <c r="X56">
        <v>152.30000000000001</v>
      </c>
      <c r="Y56" s="12">
        <f t="shared" si="2"/>
        <v>0.10043352601156073</v>
      </c>
      <c r="Z56">
        <v>151.80000000000001</v>
      </c>
      <c r="AA56">
        <v>156.19999999999999</v>
      </c>
      <c r="AB56" s="12">
        <f t="shared" si="3"/>
        <v>7.2802197802197766E-2</v>
      </c>
      <c r="AC56">
        <v>136</v>
      </c>
      <c r="AD56">
        <v>150.4</v>
      </c>
      <c r="AE56">
        <v>161.9</v>
      </c>
      <c r="AF56">
        <v>143.4</v>
      </c>
      <c r="AG56">
        <v>148.4</v>
      </c>
      <c r="AH56">
        <v>150.4</v>
      </c>
      <c r="AI56" t="str">
        <f t="shared" si="4"/>
        <v>No</v>
      </c>
    </row>
    <row r="57" spans="1:35" x14ac:dyDescent="0.25">
      <c r="A57" t="s">
        <v>32</v>
      </c>
      <c r="B57">
        <v>2020</v>
      </c>
      <c r="C57">
        <v>2</v>
      </c>
      <c r="D57" s="13">
        <f t="shared" si="0"/>
        <v>43862</v>
      </c>
      <c r="E57">
        <v>146.19999999999999</v>
      </c>
      <c r="F57">
        <v>167.6</v>
      </c>
      <c r="G57">
        <v>153.1</v>
      </c>
      <c r="H57">
        <v>150.69999999999999</v>
      </c>
      <c r="I57">
        <v>127.4</v>
      </c>
      <c r="J57">
        <v>143.1</v>
      </c>
      <c r="K57">
        <v>181.7</v>
      </c>
      <c r="L57">
        <v>139.6</v>
      </c>
      <c r="M57">
        <v>114.6</v>
      </c>
      <c r="N57">
        <v>150.4</v>
      </c>
      <c r="O57">
        <v>131.5</v>
      </c>
      <c r="P57">
        <v>159</v>
      </c>
      <c r="Q57">
        <v>151.69999999999999</v>
      </c>
      <c r="R57" s="12">
        <f t="shared" si="1"/>
        <v>1.2683578104138699E-2</v>
      </c>
      <c r="S57">
        <v>172</v>
      </c>
      <c r="T57">
        <v>147.30000000000001</v>
      </c>
      <c r="U57">
        <v>133.5</v>
      </c>
      <c r="V57">
        <v>145.19999999999999</v>
      </c>
      <c r="W57">
        <v>154.80000000000001</v>
      </c>
      <c r="X57">
        <v>138.9</v>
      </c>
      <c r="Y57" s="12">
        <f t="shared" si="2"/>
        <v>-8.7984241628365101E-2</v>
      </c>
      <c r="Z57">
        <v>140.4</v>
      </c>
      <c r="AA57">
        <v>144.4</v>
      </c>
      <c r="AB57" s="12">
        <f t="shared" si="3"/>
        <v>-7.5544174135723327E-2</v>
      </c>
      <c r="AC57">
        <v>125.2</v>
      </c>
      <c r="AD57">
        <v>137.69999999999999</v>
      </c>
      <c r="AE57">
        <v>152.19999999999999</v>
      </c>
      <c r="AF57">
        <v>143.5</v>
      </c>
      <c r="AG57">
        <v>138.4</v>
      </c>
      <c r="AH57">
        <v>147.69999999999999</v>
      </c>
      <c r="AI57" t="str">
        <f t="shared" si="4"/>
        <v>No</v>
      </c>
    </row>
    <row r="58" spans="1:35" x14ac:dyDescent="0.25">
      <c r="A58" t="s">
        <v>33</v>
      </c>
      <c r="B58">
        <v>2020</v>
      </c>
      <c r="C58">
        <v>2</v>
      </c>
      <c r="D58" s="13">
        <f t="shared" si="0"/>
        <v>43862</v>
      </c>
      <c r="E58">
        <v>144.80000000000001</v>
      </c>
      <c r="F58">
        <v>167.5</v>
      </c>
      <c r="G58">
        <v>151.80000000000001</v>
      </c>
      <c r="H58">
        <v>150.80000000000001</v>
      </c>
      <c r="I58">
        <v>131.4</v>
      </c>
      <c r="J58">
        <v>141.80000000000001</v>
      </c>
      <c r="K58">
        <v>170.7</v>
      </c>
      <c r="L58">
        <v>141.1</v>
      </c>
      <c r="M58">
        <v>113.6</v>
      </c>
      <c r="N58">
        <v>152</v>
      </c>
      <c r="O58">
        <v>136.5</v>
      </c>
      <c r="P58">
        <v>159.1</v>
      </c>
      <c r="Q58">
        <v>150.5</v>
      </c>
      <c r="R58" s="12">
        <f t="shared" si="1"/>
        <v>-7.9103493737639335E-3</v>
      </c>
      <c r="S58">
        <v>170.1</v>
      </c>
      <c r="T58">
        <v>150.80000000000001</v>
      </c>
      <c r="U58">
        <v>141.69999999999999</v>
      </c>
      <c r="V58">
        <v>149.5</v>
      </c>
      <c r="W58">
        <v>154.80000000000001</v>
      </c>
      <c r="X58">
        <v>147.19999999999999</v>
      </c>
      <c r="Y58" s="12">
        <f t="shared" si="2"/>
        <v>5.975521958243328E-2</v>
      </c>
      <c r="Z58">
        <v>146.4</v>
      </c>
      <c r="AA58">
        <v>151.69999999999999</v>
      </c>
      <c r="AB58" s="12">
        <f t="shared" si="3"/>
        <v>5.0554016620498493E-2</v>
      </c>
      <c r="AC58">
        <v>130.30000000000001</v>
      </c>
      <c r="AD58">
        <v>143.19999999999999</v>
      </c>
      <c r="AE58">
        <v>156.19999999999999</v>
      </c>
      <c r="AF58">
        <v>143.4</v>
      </c>
      <c r="AG58">
        <v>143.6</v>
      </c>
      <c r="AH58">
        <v>149.1</v>
      </c>
      <c r="AI58" t="str">
        <f t="shared" si="4"/>
        <v>No</v>
      </c>
    </row>
    <row r="59" spans="1:35" x14ac:dyDescent="0.25">
      <c r="A59" t="s">
        <v>30</v>
      </c>
      <c r="B59">
        <v>2021</v>
      </c>
      <c r="C59">
        <v>2</v>
      </c>
      <c r="D59" s="13">
        <f t="shared" si="0"/>
        <v>44228</v>
      </c>
      <c r="E59">
        <v>142.80000000000001</v>
      </c>
      <c r="F59">
        <v>184</v>
      </c>
      <c r="G59">
        <v>168</v>
      </c>
      <c r="H59">
        <v>154.4</v>
      </c>
      <c r="I59">
        <v>163</v>
      </c>
      <c r="J59">
        <v>147.80000000000001</v>
      </c>
      <c r="K59">
        <v>149.69999999999999</v>
      </c>
      <c r="L59">
        <v>158.30000000000001</v>
      </c>
      <c r="M59">
        <v>111.8</v>
      </c>
      <c r="N59">
        <v>165</v>
      </c>
      <c r="O59">
        <v>160</v>
      </c>
      <c r="P59">
        <v>165.8</v>
      </c>
      <c r="Q59">
        <v>154.69999999999999</v>
      </c>
      <c r="R59" s="12">
        <f t="shared" si="1"/>
        <v>2.790697674418597E-2</v>
      </c>
      <c r="S59">
        <v>186.5</v>
      </c>
      <c r="T59">
        <v>159.1</v>
      </c>
      <c r="U59">
        <v>153.9</v>
      </c>
      <c r="V59">
        <v>158.4</v>
      </c>
      <c r="W59" t="s">
        <v>31</v>
      </c>
      <c r="X59">
        <v>154.4</v>
      </c>
      <c r="Y59" s="12">
        <f t="shared" si="2"/>
        <v>4.891304347826099E-2</v>
      </c>
      <c r="Z59">
        <v>154.80000000000001</v>
      </c>
      <c r="AA59">
        <v>164.3</v>
      </c>
      <c r="AB59" s="12">
        <f t="shared" si="3"/>
        <v>8.3058668424522239E-2</v>
      </c>
      <c r="AC59">
        <v>150.19999999999999</v>
      </c>
      <c r="AD59">
        <v>157</v>
      </c>
      <c r="AE59">
        <v>163.6</v>
      </c>
      <c r="AF59">
        <v>155.19999999999999</v>
      </c>
      <c r="AG59">
        <v>157.19999999999999</v>
      </c>
      <c r="AH59">
        <v>156.69999999999999</v>
      </c>
      <c r="AI59" t="str">
        <f t="shared" si="4"/>
        <v>No</v>
      </c>
    </row>
    <row r="60" spans="1:35" x14ac:dyDescent="0.25">
      <c r="A60" t="s">
        <v>32</v>
      </c>
      <c r="B60">
        <v>2021</v>
      </c>
      <c r="C60">
        <v>2</v>
      </c>
      <c r="D60" s="13">
        <f t="shared" si="0"/>
        <v>44228</v>
      </c>
      <c r="E60">
        <v>147.6</v>
      </c>
      <c r="F60">
        <v>191.2</v>
      </c>
      <c r="G60">
        <v>169.9</v>
      </c>
      <c r="H60">
        <v>155.1</v>
      </c>
      <c r="I60">
        <v>151.4</v>
      </c>
      <c r="J60">
        <v>154</v>
      </c>
      <c r="K60">
        <v>180.2</v>
      </c>
      <c r="L60">
        <v>159.80000000000001</v>
      </c>
      <c r="M60">
        <v>114.9</v>
      </c>
      <c r="N60">
        <v>162.5</v>
      </c>
      <c r="O60">
        <v>149.19999999999999</v>
      </c>
      <c r="P60">
        <v>169.4</v>
      </c>
      <c r="Q60">
        <v>160.80000000000001</v>
      </c>
      <c r="R60" s="12">
        <f t="shared" si="1"/>
        <v>3.9431157078216053E-2</v>
      </c>
      <c r="S60">
        <v>193.3</v>
      </c>
      <c r="T60">
        <v>154.19999999999999</v>
      </c>
      <c r="U60">
        <v>138.19999999999999</v>
      </c>
      <c r="V60">
        <v>151.80000000000001</v>
      </c>
      <c r="W60">
        <v>159.80000000000001</v>
      </c>
      <c r="X60">
        <v>149.1</v>
      </c>
      <c r="Y60" s="12">
        <f t="shared" si="2"/>
        <v>-3.4326424870466395E-2</v>
      </c>
      <c r="Z60">
        <v>146.5</v>
      </c>
      <c r="AA60">
        <v>156.30000000000001</v>
      </c>
      <c r="AB60" s="12">
        <f t="shared" si="3"/>
        <v>-4.8691418137553254E-2</v>
      </c>
      <c r="AC60">
        <v>140.5</v>
      </c>
      <c r="AD60">
        <v>147.30000000000001</v>
      </c>
      <c r="AE60">
        <v>156.6</v>
      </c>
      <c r="AF60">
        <v>156.69999999999999</v>
      </c>
      <c r="AG60">
        <v>149.30000000000001</v>
      </c>
      <c r="AH60">
        <v>156.5</v>
      </c>
      <c r="AI60" t="str">
        <f t="shared" si="4"/>
        <v>Yes</v>
      </c>
    </row>
    <row r="61" spans="1:35" x14ac:dyDescent="0.25">
      <c r="A61" t="s">
        <v>33</v>
      </c>
      <c r="B61">
        <v>2021</v>
      </c>
      <c r="C61">
        <v>2</v>
      </c>
      <c r="D61" s="13">
        <f t="shared" si="0"/>
        <v>44228</v>
      </c>
      <c r="E61">
        <v>144.30000000000001</v>
      </c>
      <c r="F61">
        <v>186.5</v>
      </c>
      <c r="G61">
        <v>168.7</v>
      </c>
      <c r="H61">
        <v>154.69999999999999</v>
      </c>
      <c r="I61">
        <v>158.69999999999999</v>
      </c>
      <c r="J61">
        <v>150.69999999999999</v>
      </c>
      <c r="K61">
        <v>160</v>
      </c>
      <c r="L61">
        <v>158.80000000000001</v>
      </c>
      <c r="M61">
        <v>112.8</v>
      </c>
      <c r="N61">
        <v>164.2</v>
      </c>
      <c r="O61">
        <v>155.5</v>
      </c>
      <c r="P61">
        <v>167.5</v>
      </c>
      <c r="Q61">
        <v>156.9</v>
      </c>
      <c r="R61" s="12">
        <f t="shared" si="1"/>
        <v>-2.4253731343283617E-2</v>
      </c>
      <c r="S61">
        <v>188.3</v>
      </c>
      <c r="T61">
        <v>157.19999999999999</v>
      </c>
      <c r="U61">
        <v>147.4</v>
      </c>
      <c r="V61">
        <v>155.80000000000001</v>
      </c>
      <c r="W61">
        <v>159.80000000000001</v>
      </c>
      <c r="X61">
        <v>152.4</v>
      </c>
      <c r="Y61" s="12">
        <f t="shared" si="2"/>
        <v>2.213279678068418E-2</v>
      </c>
      <c r="Z61">
        <v>150.9</v>
      </c>
      <c r="AA61">
        <v>161.30000000000001</v>
      </c>
      <c r="AB61" s="12">
        <f t="shared" si="3"/>
        <v>3.1989763275751759E-2</v>
      </c>
      <c r="AC61">
        <v>145.1</v>
      </c>
      <c r="AD61">
        <v>151.5</v>
      </c>
      <c r="AE61">
        <v>159.5</v>
      </c>
      <c r="AF61">
        <v>155.80000000000001</v>
      </c>
      <c r="AG61">
        <v>153.4</v>
      </c>
      <c r="AH61">
        <v>156.6</v>
      </c>
      <c r="AI61" t="str">
        <f t="shared" si="4"/>
        <v>Yes</v>
      </c>
    </row>
    <row r="62" spans="1:35" x14ac:dyDescent="0.25">
      <c r="A62" t="s">
        <v>30</v>
      </c>
      <c r="B62">
        <v>2022</v>
      </c>
      <c r="C62">
        <v>2</v>
      </c>
      <c r="D62" s="13">
        <f t="shared" si="0"/>
        <v>44593</v>
      </c>
      <c r="E62">
        <v>148.80000000000001</v>
      </c>
      <c r="F62">
        <v>198.1</v>
      </c>
      <c r="G62">
        <v>175.5</v>
      </c>
      <c r="H62">
        <v>160.69999999999999</v>
      </c>
      <c r="I62">
        <v>192.6</v>
      </c>
      <c r="J62">
        <v>151.4</v>
      </c>
      <c r="K62">
        <v>155.19999999999999</v>
      </c>
      <c r="L62">
        <v>163.9</v>
      </c>
      <c r="M62">
        <v>118.1</v>
      </c>
      <c r="N62">
        <v>175.4</v>
      </c>
      <c r="O62">
        <v>170.5</v>
      </c>
      <c r="P62">
        <v>176.3</v>
      </c>
      <c r="Q62">
        <v>163.9</v>
      </c>
      <c r="R62" s="12">
        <f t="shared" si="1"/>
        <v>4.4614404079031229E-2</v>
      </c>
      <c r="S62">
        <v>191.5</v>
      </c>
      <c r="T62">
        <v>174.1</v>
      </c>
      <c r="U62">
        <v>171</v>
      </c>
      <c r="V62">
        <v>173.7</v>
      </c>
      <c r="W62" t="s">
        <v>31</v>
      </c>
      <c r="X62">
        <v>167.4</v>
      </c>
      <c r="Y62" s="12">
        <f t="shared" si="2"/>
        <v>9.8425196850393692E-2</v>
      </c>
      <c r="Z62">
        <v>165.7</v>
      </c>
      <c r="AA62">
        <v>175.3</v>
      </c>
      <c r="AB62" s="12">
        <f t="shared" si="3"/>
        <v>8.6794792312461247E-2</v>
      </c>
      <c r="AC62">
        <v>161.19999999999999</v>
      </c>
      <c r="AD62">
        <v>165.5</v>
      </c>
      <c r="AE62">
        <v>170.3</v>
      </c>
      <c r="AF62">
        <v>164.5</v>
      </c>
      <c r="AG62">
        <v>167.3</v>
      </c>
      <c r="AH62">
        <v>166.7</v>
      </c>
      <c r="AI62" t="str">
        <f t="shared" si="4"/>
        <v>Yes</v>
      </c>
    </row>
    <row r="63" spans="1:35" x14ac:dyDescent="0.25">
      <c r="A63" t="s">
        <v>32</v>
      </c>
      <c r="B63">
        <v>2022</v>
      </c>
      <c r="C63">
        <v>2</v>
      </c>
      <c r="D63" s="13">
        <f t="shared" si="0"/>
        <v>44593</v>
      </c>
      <c r="E63">
        <v>152.5</v>
      </c>
      <c r="F63">
        <v>205.2</v>
      </c>
      <c r="G63">
        <v>176.4</v>
      </c>
      <c r="H63">
        <v>160.6</v>
      </c>
      <c r="I63">
        <v>171.5</v>
      </c>
      <c r="J63">
        <v>156.4</v>
      </c>
      <c r="K63">
        <v>198</v>
      </c>
      <c r="L63">
        <v>163.19999999999999</v>
      </c>
      <c r="M63">
        <v>120.6</v>
      </c>
      <c r="N63">
        <v>172.2</v>
      </c>
      <c r="O63">
        <v>156.69999999999999</v>
      </c>
      <c r="P63">
        <v>180</v>
      </c>
      <c r="Q63">
        <v>170.2</v>
      </c>
      <c r="R63" s="12">
        <f t="shared" si="1"/>
        <v>3.8438071995118867E-2</v>
      </c>
      <c r="S63">
        <v>196.5</v>
      </c>
      <c r="T63">
        <v>165.7</v>
      </c>
      <c r="U63">
        <v>150.4</v>
      </c>
      <c r="V63">
        <v>163.4</v>
      </c>
      <c r="W63">
        <v>165.5</v>
      </c>
      <c r="X63">
        <v>163</v>
      </c>
      <c r="Y63" s="12">
        <f t="shared" si="2"/>
        <v>-2.6284348864994058E-2</v>
      </c>
      <c r="Z63">
        <v>157.4</v>
      </c>
      <c r="AA63">
        <v>167.2</v>
      </c>
      <c r="AB63" s="12">
        <f t="shared" si="3"/>
        <v>-4.6206503137478733E-2</v>
      </c>
      <c r="AC63">
        <v>153.1</v>
      </c>
      <c r="AD63">
        <v>159.5</v>
      </c>
      <c r="AE63">
        <v>162</v>
      </c>
      <c r="AF63">
        <v>164.2</v>
      </c>
      <c r="AG63">
        <v>159.4</v>
      </c>
      <c r="AH63">
        <v>165.5</v>
      </c>
      <c r="AI63" t="str">
        <f t="shared" si="4"/>
        <v>Yes</v>
      </c>
    </row>
    <row r="64" spans="1:35" x14ac:dyDescent="0.25">
      <c r="A64" t="s">
        <v>33</v>
      </c>
      <c r="B64">
        <v>2022</v>
      </c>
      <c r="C64">
        <v>2</v>
      </c>
      <c r="D64" s="13">
        <f t="shared" si="0"/>
        <v>44593</v>
      </c>
      <c r="E64">
        <v>150</v>
      </c>
      <c r="F64">
        <v>200.6</v>
      </c>
      <c r="G64">
        <v>175.8</v>
      </c>
      <c r="H64">
        <v>160.69999999999999</v>
      </c>
      <c r="I64">
        <v>184.9</v>
      </c>
      <c r="J64">
        <v>153.69999999999999</v>
      </c>
      <c r="K64">
        <v>169.7</v>
      </c>
      <c r="L64">
        <v>163.69999999999999</v>
      </c>
      <c r="M64">
        <v>118.9</v>
      </c>
      <c r="N64">
        <v>174.3</v>
      </c>
      <c r="O64">
        <v>164.7</v>
      </c>
      <c r="P64">
        <v>178</v>
      </c>
      <c r="Q64">
        <v>166.2</v>
      </c>
      <c r="R64" s="12">
        <f t="shared" si="1"/>
        <v>-2.3501762632197415E-2</v>
      </c>
      <c r="S64">
        <v>192.8</v>
      </c>
      <c r="T64">
        <v>170.8</v>
      </c>
      <c r="U64">
        <v>162.4</v>
      </c>
      <c r="V64">
        <v>169.6</v>
      </c>
      <c r="W64">
        <v>165.5</v>
      </c>
      <c r="X64">
        <v>165.7</v>
      </c>
      <c r="Y64" s="12">
        <f t="shared" si="2"/>
        <v>1.6564417177914039E-2</v>
      </c>
      <c r="Z64">
        <v>161.80000000000001</v>
      </c>
      <c r="AA64">
        <v>172.2</v>
      </c>
      <c r="AB64" s="12">
        <f t="shared" si="3"/>
        <v>2.9904306220095697E-2</v>
      </c>
      <c r="AC64">
        <v>156.9</v>
      </c>
      <c r="AD64">
        <v>162.1</v>
      </c>
      <c r="AE64">
        <v>165.4</v>
      </c>
      <c r="AF64">
        <v>164.4</v>
      </c>
      <c r="AG64">
        <v>163.5</v>
      </c>
      <c r="AH64">
        <v>166.1</v>
      </c>
      <c r="AI64" t="str">
        <f t="shared" si="4"/>
        <v>Yes</v>
      </c>
    </row>
    <row r="65" spans="1:35" x14ac:dyDescent="0.25">
      <c r="A65" t="s">
        <v>30</v>
      </c>
      <c r="B65">
        <v>2023</v>
      </c>
      <c r="C65">
        <v>2</v>
      </c>
      <c r="D65" s="13">
        <f t="shared" si="0"/>
        <v>44958</v>
      </c>
      <c r="E65">
        <v>174.2</v>
      </c>
      <c r="F65">
        <v>205.2</v>
      </c>
      <c r="G65">
        <v>173.9</v>
      </c>
      <c r="H65">
        <v>177</v>
      </c>
      <c r="I65">
        <v>183.4</v>
      </c>
      <c r="J65">
        <v>167.2</v>
      </c>
      <c r="K65">
        <v>140.9</v>
      </c>
      <c r="L65">
        <v>170.4</v>
      </c>
      <c r="M65">
        <v>119.1</v>
      </c>
      <c r="N65">
        <v>212.1</v>
      </c>
      <c r="O65">
        <v>177.6</v>
      </c>
      <c r="P65">
        <v>189.9</v>
      </c>
      <c r="Q65">
        <v>174.8</v>
      </c>
      <c r="R65" s="12">
        <f t="shared" si="1"/>
        <v>5.1744885679903874E-2</v>
      </c>
      <c r="S65">
        <v>198.3</v>
      </c>
      <c r="T65">
        <v>190</v>
      </c>
      <c r="U65">
        <v>187</v>
      </c>
      <c r="V65">
        <v>189.6</v>
      </c>
      <c r="W65" t="s">
        <v>31</v>
      </c>
      <c r="X65">
        <v>181.6</v>
      </c>
      <c r="Y65" s="12">
        <f t="shared" si="2"/>
        <v>9.5956547978274034E-2</v>
      </c>
      <c r="Z65">
        <v>178.6</v>
      </c>
      <c r="AA65">
        <v>186.6</v>
      </c>
      <c r="AB65" s="12">
        <f t="shared" si="3"/>
        <v>8.3623693379790975E-2</v>
      </c>
      <c r="AC65">
        <v>169</v>
      </c>
      <c r="AD65">
        <v>172.8</v>
      </c>
      <c r="AE65">
        <v>178.5</v>
      </c>
      <c r="AF65">
        <v>180.7</v>
      </c>
      <c r="AG65">
        <v>177.9</v>
      </c>
      <c r="AH65">
        <v>178</v>
      </c>
      <c r="AI65" t="str">
        <f t="shared" si="4"/>
        <v>No</v>
      </c>
    </row>
    <row r="66" spans="1:35" x14ac:dyDescent="0.25">
      <c r="A66" t="s">
        <v>32</v>
      </c>
      <c r="B66">
        <v>2023</v>
      </c>
      <c r="C66">
        <v>2</v>
      </c>
      <c r="D66" s="13">
        <f t="shared" si="0"/>
        <v>44958</v>
      </c>
      <c r="E66">
        <v>174.7</v>
      </c>
      <c r="F66">
        <v>212.2</v>
      </c>
      <c r="G66">
        <v>177.2</v>
      </c>
      <c r="H66">
        <v>177.9</v>
      </c>
      <c r="I66">
        <v>172.2</v>
      </c>
      <c r="J66">
        <v>172.1</v>
      </c>
      <c r="K66">
        <v>175.8</v>
      </c>
      <c r="L66">
        <v>172.2</v>
      </c>
      <c r="M66">
        <v>121.9</v>
      </c>
      <c r="N66">
        <v>204.8</v>
      </c>
      <c r="O66">
        <v>164.9</v>
      </c>
      <c r="P66">
        <v>196.6</v>
      </c>
      <c r="Q66">
        <v>180.7</v>
      </c>
      <c r="R66" s="12">
        <f t="shared" si="1"/>
        <v>3.3752860411899184E-2</v>
      </c>
      <c r="S66">
        <v>202.7</v>
      </c>
      <c r="T66">
        <v>180.3</v>
      </c>
      <c r="U66">
        <v>167</v>
      </c>
      <c r="V66">
        <v>178.2</v>
      </c>
      <c r="W66">
        <v>173.5</v>
      </c>
      <c r="X66">
        <v>182.8</v>
      </c>
      <c r="Y66" s="12">
        <f t="shared" si="2"/>
        <v>6.6079295154185961E-3</v>
      </c>
      <c r="Z66">
        <v>169.2</v>
      </c>
      <c r="AA66">
        <v>180.8</v>
      </c>
      <c r="AB66" s="12">
        <f t="shared" si="3"/>
        <v>-3.1082529474812343E-2</v>
      </c>
      <c r="AC66">
        <v>159.80000000000001</v>
      </c>
      <c r="AD66">
        <v>168.4</v>
      </c>
      <c r="AE66">
        <v>172.5</v>
      </c>
      <c r="AF66">
        <v>181.4</v>
      </c>
      <c r="AG66">
        <v>170</v>
      </c>
      <c r="AH66">
        <v>176.3</v>
      </c>
      <c r="AI66" t="str">
        <f t="shared" si="4"/>
        <v>Yes</v>
      </c>
    </row>
    <row r="67" spans="1:35" x14ac:dyDescent="0.25">
      <c r="A67" t="s">
        <v>33</v>
      </c>
      <c r="B67">
        <v>2023</v>
      </c>
      <c r="C67">
        <v>2</v>
      </c>
      <c r="D67" s="13">
        <f t="shared" ref="D67:D130" si="5">DATE(B67,C67,1)</f>
        <v>44958</v>
      </c>
      <c r="E67">
        <v>174.4</v>
      </c>
      <c r="F67">
        <v>207.7</v>
      </c>
      <c r="G67">
        <v>175.2</v>
      </c>
      <c r="H67">
        <v>177.3</v>
      </c>
      <c r="I67">
        <v>179.3</v>
      </c>
      <c r="J67">
        <v>169.5</v>
      </c>
      <c r="K67">
        <v>152.69999999999999</v>
      </c>
      <c r="L67">
        <v>171</v>
      </c>
      <c r="M67">
        <v>120</v>
      </c>
      <c r="N67">
        <v>209.7</v>
      </c>
      <c r="O67">
        <v>172.3</v>
      </c>
      <c r="P67">
        <v>193</v>
      </c>
      <c r="Q67">
        <v>177</v>
      </c>
      <c r="R67" s="12">
        <f t="shared" ref="R67:R130" si="6">(Q67-Q66)/Q66</f>
        <v>-2.0475926950747032E-2</v>
      </c>
      <c r="S67">
        <v>199.5</v>
      </c>
      <c r="T67">
        <v>186.2</v>
      </c>
      <c r="U67">
        <v>178.7</v>
      </c>
      <c r="V67">
        <v>185.1</v>
      </c>
      <c r="W67">
        <v>173.5</v>
      </c>
      <c r="X67">
        <v>182.1</v>
      </c>
      <c r="Y67" s="12">
        <f t="shared" ref="Y67:Y130" si="7">(X67-X66)/X66</f>
        <v>-3.8293216630197868E-3</v>
      </c>
      <c r="Z67">
        <v>174.2</v>
      </c>
      <c r="AA67">
        <v>184.4</v>
      </c>
      <c r="AB67" s="12">
        <f t="shared" ref="AB67:AB130" si="8">(AA67-AA66)/AA66</f>
        <v>1.991150442477873E-2</v>
      </c>
      <c r="AC67">
        <v>164.2</v>
      </c>
      <c r="AD67">
        <v>170.3</v>
      </c>
      <c r="AE67">
        <v>175</v>
      </c>
      <c r="AF67">
        <v>181</v>
      </c>
      <c r="AG67">
        <v>174.1</v>
      </c>
      <c r="AH67">
        <v>177.2</v>
      </c>
      <c r="AI67" t="str">
        <f t="shared" ref="AI67:AI130" si="9">IF(AND(J67&gt;150,K67&gt;150),"Yes","No")</f>
        <v>Yes</v>
      </c>
    </row>
    <row r="68" spans="1:35" x14ac:dyDescent="0.25">
      <c r="A68" t="s">
        <v>30</v>
      </c>
      <c r="B68">
        <v>2013</v>
      </c>
      <c r="C68">
        <v>3</v>
      </c>
      <c r="D68" s="13">
        <f t="shared" si="5"/>
        <v>41334</v>
      </c>
      <c r="E68">
        <v>110.2</v>
      </c>
      <c r="F68">
        <v>108.8</v>
      </c>
      <c r="G68">
        <v>109.9</v>
      </c>
      <c r="H68">
        <v>105.6</v>
      </c>
      <c r="I68">
        <v>106.2</v>
      </c>
      <c r="J68">
        <v>105.7</v>
      </c>
      <c r="K68">
        <v>101.4</v>
      </c>
      <c r="L68">
        <v>105.7</v>
      </c>
      <c r="M68">
        <v>105</v>
      </c>
      <c r="N68">
        <v>103.3</v>
      </c>
      <c r="O68">
        <v>105.6</v>
      </c>
      <c r="P68">
        <v>108.2</v>
      </c>
      <c r="Q68">
        <v>106.6</v>
      </c>
      <c r="R68" s="12">
        <f t="shared" si="6"/>
        <v>-0.3977401129943503</v>
      </c>
      <c r="S68">
        <v>106.5</v>
      </c>
      <c r="T68">
        <v>107.6</v>
      </c>
      <c r="U68">
        <v>106.8</v>
      </c>
      <c r="V68">
        <v>107.5</v>
      </c>
      <c r="W68" t="s">
        <v>31</v>
      </c>
      <c r="X68">
        <v>106.1</v>
      </c>
      <c r="Y68" s="12">
        <f t="shared" si="7"/>
        <v>-0.4173531026908292</v>
      </c>
      <c r="Z68">
        <v>105.6</v>
      </c>
      <c r="AA68">
        <v>104.7</v>
      </c>
      <c r="AB68" s="12">
        <f t="shared" si="8"/>
        <v>-0.43221258134490237</v>
      </c>
      <c r="AC68">
        <v>104.6</v>
      </c>
      <c r="AD68">
        <v>104</v>
      </c>
      <c r="AE68">
        <v>104.3</v>
      </c>
      <c r="AF68">
        <v>104.3</v>
      </c>
      <c r="AG68">
        <v>104.6</v>
      </c>
      <c r="AH68">
        <v>106</v>
      </c>
      <c r="AI68" t="str">
        <f t="shared" si="9"/>
        <v>No</v>
      </c>
    </row>
    <row r="69" spans="1:35" x14ac:dyDescent="0.25">
      <c r="A69" t="s">
        <v>32</v>
      </c>
      <c r="B69">
        <v>2013</v>
      </c>
      <c r="C69">
        <v>3</v>
      </c>
      <c r="D69" s="13">
        <f t="shared" si="5"/>
        <v>41334</v>
      </c>
      <c r="E69">
        <v>113.9</v>
      </c>
      <c r="F69">
        <v>111.4</v>
      </c>
      <c r="G69">
        <v>113.2</v>
      </c>
      <c r="H69">
        <v>104.3</v>
      </c>
      <c r="I69">
        <v>102.7</v>
      </c>
      <c r="J69">
        <v>104.9</v>
      </c>
      <c r="K69">
        <v>103.8</v>
      </c>
      <c r="L69">
        <v>103.5</v>
      </c>
      <c r="M69">
        <v>102.6</v>
      </c>
      <c r="N69">
        <v>102.4</v>
      </c>
      <c r="O69">
        <v>107</v>
      </c>
      <c r="P69">
        <v>109.8</v>
      </c>
      <c r="Q69">
        <v>107.3</v>
      </c>
      <c r="R69" s="12">
        <f t="shared" si="6"/>
        <v>6.5666041275797647E-3</v>
      </c>
      <c r="S69">
        <v>106.8</v>
      </c>
      <c r="T69">
        <v>107.2</v>
      </c>
      <c r="U69">
        <v>106</v>
      </c>
      <c r="V69">
        <v>107</v>
      </c>
      <c r="W69">
        <v>100.4</v>
      </c>
      <c r="X69">
        <v>106</v>
      </c>
      <c r="Y69" s="12">
        <f t="shared" si="7"/>
        <v>-9.4250706880296255E-4</v>
      </c>
      <c r="Z69">
        <v>105.7</v>
      </c>
      <c r="AA69">
        <v>105.2</v>
      </c>
      <c r="AB69" s="12">
        <f t="shared" si="8"/>
        <v>4.7755491881566383E-3</v>
      </c>
      <c r="AC69">
        <v>105.5</v>
      </c>
      <c r="AD69">
        <v>103.5</v>
      </c>
      <c r="AE69">
        <v>103.8</v>
      </c>
      <c r="AF69">
        <v>104.2</v>
      </c>
      <c r="AG69">
        <v>104.9</v>
      </c>
      <c r="AH69">
        <v>105</v>
      </c>
      <c r="AI69" t="str">
        <f t="shared" si="9"/>
        <v>No</v>
      </c>
    </row>
    <row r="70" spans="1:35" x14ac:dyDescent="0.25">
      <c r="A70" t="s">
        <v>33</v>
      </c>
      <c r="B70">
        <v>2013</v>
      </c>
      <c r="C70">
        <v>3</v>
      </c>
      <c r="D70" s="13">
        <f t="shared" si="5"/>
        <v>41334</v>
      </c>
      <c r="E70">
        <v>111.4</v>
      </c>
      <c r="F70">
        <v>109.7</v>
      </c>
      <c r="G70">
        <v>111.2</v>
      </c>
      <c r="H70">
        <v>105.1</v>
      </c>
      <c r="I70">
        <v>104.9</v>
      </c>
      <c r="J70">
        <v>105.3</v>
      </c>
      <c r="K70">
        <v>102.2</v>
      </c>
      <c r="L70">
        <v>105</v>
      </c>
      <c r="M70">
        <v>104.2</v>
      </c>
      <c r="N70">
        <v>103</v>
      </c>
      <c r="O70">
        <v>106.2</v>
      </c>
      <c r="P70">
        <v>108.9</v>
      </c>
      <c r="Q70">
        <v>106.9</v>
      </c>
      <c r="R70" s="12">
        <f t="shared" si="6"/>
        <v>-3.7278657968312346E-3</v>
      </c>
      <c r="S70">
        <v>106.6</v>
      </c>
      <c r="T70">
        <v>107.4</v>
      </c>
      <c r="U70">
        <v>106.5</v>
      </c>
      <c r="V70">
        <v>107.3</v>
      </c>
      <c r="W70">
        <v>100.4</v>
      </c>
      <c r="X70">
        <v>106.1</v>
      </c>
      <c r="Y70" s="12">
        <f t="shared" si="7"/>
        <v>9.4339622641504068E-4</v>
      </c>
      <c r="Z70">
        <v>105.6</v>
      </c>
      <c r="AA70">
        <v>104.9</v>
      </c>
      <c r="AB70" s="12">
        <f t="shared" si="8"/>
        <v>-2.8517110266159424E-3</v>
      </c>
      <c r="AC70">
        <v>105.1</v>
      </c>
      <c r="AD70">
        <v>103.7</v>
      </c>
      <c r="AE70">
        <v>104</v>
      </c>
      <c r="AF70">
        <v>104.3</v>
      </c>
      <c r="AG70">
        <v>104.7</v>
      </c>
      <c r="AH70">
        <v>105.5</v>
      </c>
      <c r="AI70" t="str">
        <f t="shared" si="9"/>
        <v>No</v>
      </c>
    </row>
    <row r="71" spans="1:35" x14ac:dyDescent="0.25">
      <c r="A71" t="s">
        <v>30</v>
      </c>
      <c r="B71">
        <v>2014</v>
      </c>
      <c r="C71">
        <v>3</v>
      </c>
      <c r="D71" s="13">
        <f t="shared" si="5"/>
        <v>41699</v>
      </c>
      <c r="E71">
        <v>120.1</v>
      </c>
      <c r="F71">
        <v>118.1</v>
      </c>
      <c r="G71">
        <v>120.7</v>
      </c>
      <c r="H71">
        <v>116.1</v>
      </c>
      <c r="I71">
        <v>109.3</v>
      </c>
      <c r="J71">
        <v>119.6</v>
      </c>
      <c r="K71">
        <v>117.9</v>
      </c>
      <c r="L71">
        <v>110.2</v>
      </c>
      <c r="M71">
        <v>101.2</v>
      </c>
      <c r="N71">
        <v>110.7</v>
      </c>
      <c r="O71">
        <v>113</v>
      </c>
      <c r="P71">
        <v>118.3</v>
      </c>
      <c r="Q71">
        <v>116.2</v>
      </c>
      <c r="R71" s="12">
        <f t="shared" si="6"/>
        <v>8.6997193638914838E-2</v>
      </c>
      <c r="S71">
        <v>114.6</v>
      </c>
      <c r="T71">
        <v>117.5</v>
      </c>
      <c r="U71">
        <v>114.9</v>
      </c>
      <c r="V71">
        <v>117.2</v>
      </c>
      <c r="W71" t="s">
        <v>31</v>
      </c>
      <c r="X71">
        <v>113.4</v>
      </c>
      <c r="Y71" s="12">
        <f t="shared" si="7"/>
        <v>6.8803016022620275E-2</v>
      </c>
      <c r="Z71">
        <v>113.4</v>
      </c>
      <c r="AA71">
        <v>111.4</v>
      </c>
      <c r="AB71" s="12">
        <f t="shared" si="8"/>
        <v>6.196377502383222E-2</v>
      </c>
      <c r="AC71">
        <v>111.2</v>
      </c>
      <c r="AD71">
        <v>110.2</v>
      </c>
      <c r="AE71">
        <v>112.4</v>
      </c>
      <c r="AF71">
        <v>108.9</v>
      </c>
      <c r="AG71">
        <v>111.3</v>
      </c>
      <c r="AH71">
        <v>114.6</v>
      </c>
      <c r="AI71" t="str">
        <f t="shared" si="9"/>
        <v>No</v>
      </c>
    </row>
    <row r="72" spans="1:35" x14ac:dyDescent="0.25">
      <c r="A72" t="s">
        <v>32</v>
      </c>
      <c r="B72">
        <v>2014</v>
      </c>
      <c r="C72">
        <v>3</v>
      </c>
      <c r="D72" s="13">
        <f t="shared" si="5"/>
        <v>41699</v>
      </c>
      <c r="E72">
        <v>122.1</v>
      </c>
      <c r="F72">
        <v>121.4</v>
      </c>
      <c r="G72">
        <v>121.5</v>
      </c>
      <c r="H72">
        <v>116.2</v>
      </c>
      <c r="I72">
        <v>102.8</v>
      </c>
      <c r="J72">
        <v>117.7</v>
      </c>
      <c r="K72">
        <v>113.3</v>
      </c>
      <c r="L72">
        <v>108.9</v>
      </c>
      <c r="M72">
        <v>96.3</v>
      </c>
      <c r="N72">
        <v>114.1</v>
      </c>
      <c r="O72">
        <v>112.2</v>
      </c>
      <c r="P72">
        <v>120.5</v>
      </c>
      <c r="Q72">
        <v>116</v>
      </c>
      <c r="R72" s="12">
        <f t="shared" si="6"/>
        <v>-1.7211703958692154E-3</v>
      </c>
      <c r="S72">
        <v>116.7</v>
      </c>
      <c r="T72">
        <v>115.8</v>
      </c>
      <c r="U72">
        <v>112.1</v>
      </c>
      <c r="V72">
        <v>115.2</v>
      </c>
      <c r="W72">
        <v>113.2</v>
      </c>
      <c r="X72">
        <v>110.9</v>
      </c>
      <c r="Y72" s="12">
        <f t="shared" si="7"/>
        <v>-2.2045855379188711E-2</v>
      </c>
      <c r="Z72">
        <v>113</v>
      </c>
      <c r="AA72">
        <v>110.8</v>
      </c>
      <c r="AB72" s="12">
        <f t="shared" si="8"/>
        <v>-5.3859964093358036E-3</v>
      </c>
      <c r="AC72">
        <v>111.6</v>
      </c>
      <c r="AD72">
        <v>110.9</v>
      </c>
      <c r="AE72">
        <v>111.8</v>
      </c>
      <c r="AF72">
        <v>109.2</v>
      </c>
      <c r="AG72">
        <v>111.4</v>
      </c>
      <c r="AH72">
        <v>113.7</v>
      </c>
      <c r="AI72" t="str">
        <f t="shared" si="9"/>
        <v>No</v>
      </c>
    </row>
    <row r="73" spans="1:35" x14ac:dyDescent="0.25">
      <c r="A73" t="s">
        <v>33</v>
      </c>
      <c r="B73">
        <v>2014</v>
      </c>
      <c r="C73">
        <v>3</v>
      </c>
      <c r="D73" s="13">
        <f t="shared" si="5"/>
        <v>41699</v>
      </c>
      <c r="E73">
        <v>120.7</v>
      </c>
      <c r="F73">
        <v>119.3</v>
      </c>
      <c r="G73">
        <v>121</v>
      </c>
      <c r="H73">
        <v>116.1</v>
      </c>
      <c r="I73">
        <v>106.9</v>
      </c>
      <c r="J73">
        <v>118.7</v>
      </c>
      <c r="K73">
        <v>116.3</v>
      </c>
      <c r="L73">
        <v>109.8</v>
      </c>
      <c r="M73">
        <v>99.6</v>
      </c>
      <c r="N73">
        <v>111.8</v>
      </c>
      <c r="O73">
        <v>112.7</v>
      </c>
      <c r="P73">
        <v>119.3</v>
      </c>
      <c r="Q73">
        <v>116.1</v>
      </c>
      <c r="R73" s="12">
        <f t="shared" si="6"/>
        <v>8.6206896551719236E-4</v>
      </c>
      <c r="S73">
        <v>115.2</v>
      </c>
      <c r="T73">
        <v>116.8</v>
      </c>
      <c r="U73">
        <v>113.7</v>
      </c>
      <c r="V73">
        <v>116.4</v>
      </c>
      <c r="W73">
        <v>113.2</v>
      </c>
      <c r="X73">
        <v>112.5</v>
      </c>
      <c r="Y73" s="12">
        <f t="shared" si="7"/>
        <v>1.4427412082957567E-2</v>
      </c>
      <c r="Z73">
        <v>113.2</v>
      </c>
      <c r="AA73">
        <v>111.2</v>
      </c>
      <c r="AB73" s="12">
        <f t="shared" si="8"/>
        <v>3.6101083032491488E-3</v>
      </c>
      <c r="AC73">
        <v>111.4</v>
      </c>
      <c r="AD73">
        <v>110.6</v>
      </c>
      <c r="AE73">
        <v>112</v>
      </c>
      <c r="AF73">
        <v>109</v>
      </c>
      <c r="AG73">
        <v>111.3</v>
      </c>
      <c r="AH73">
        <v>114.2</v>
      </c>
      <c r="AI73" t="str">
        <f t="shared" si="9"/>
        <v>No</v>
      </c>
    </row>
    <row r="74" spans="1:35" x14ac:dyDescent="0.25">
      <c r="A74" t="s">
        <v>30</v>
      </c>
      <c r="B74">
        <v>2015</v>
      </c>
      <c r="C74">
        <v>3</v>
      </c>
      <c r="D74" s="13">
        <f t="shared" si="5"/>
        <v>42064</v>
      </c>
      <c r="E74">
        <v>123.3</v>
      </c>
      <c r="F74">
        <v>124.7</v>
      </c>
      <c r="G74">
        <v>118.9</v>
      </c>
      <c r="H74">
        <v>126</v>
      </c>
      <c r="I74">
        <v>111.8</v>
      </c>
      <c r="J74">
        <v>130.9</v>
      </c>
      <c r="K74">
        <v>128</v>
      </c>
      <c r="L74">
        <v>119.9</v>
      </c>
      <c r="M74">
        <v>98.9</v>
      </c>
      <c r="N74">
        <v>119.4</v>
      </c>
      <c r="O74">
        <v>118.9</v>
      </c>
      <c r="P74">
        <v>127.7</v>
      </c>
      <c r="Q74">
        <v>123.1</v>
      </c>
      <c r="R74" s="12">
        <f t="shared" si="6"/>
        <v>6.0292850990525414E-2</v>
      </c>
      <c r="S74">
        <v>124.7</v>
      </c>
      <c r="T74">
        <v>126</v>
      </c>
      <c r="U74">
        <v>122.9</v>
      </c>
      <c r="V74">
        <v>125.5</v>
      </c>
      <c r="W74" t="s">
        <v>31</v>
      </c>
      <c r="X74">
        <v>120.6</v>
      </c>
      <c r="Y74" s="12">
        <f t="shared" si="7"/>
        <v>7.1999999999999953E-2</v>
      </c>
      <c r="Z74">
        <v>120.2</v>
      </c>
      <c r="AA74">
        <v>118.2</v>
      </c>
      <c r="AB74" s="12">
        <f t="shared" si="8"/>
        <v>6.2949640287769781E-2</v>
      </c>
      <c r="AC74">
        <v>111.6</v>
      </c>
      <c r="AD74">
        <v>115.5</v>
      </c>
      <c r="AE74">
        <v>119.4</v>
      </c>
      <c r="AF74">
        <v>110.8</v>
      </c>
      <c r="AG74">
        <v>115.5</v>
      </c>
      <c r="AH74">
        <v>121.1</v>
      </c>
      <c r="AI74" t="str">
        <f t="shared" si="9"/>
        <v>No</v>
      </c>
    </row>
    <row r="75" spans="1:35" x14ac:dyDescent="0.25">
      <c r="A75" t="s">
        <v>32</v>
      </c>
      <c r="B75">
        <v>2015</v>
      </c>
      <c r="C75">
        <v>3</v>
      </c>
      <c r="D75" s="13">
        <f t="shared" si="5"/>
        <v>42064</v>
      </c>
      <c r="E75">
        <v>124</v>
      </c>
      <c r="F75">
        <v>126.7</v>
      </c>
      <c r="G75">
        <v>113.5</v>
      </c>
      <c r="H75">
        <v>125.9</v>
      </c>
      <c r="I75">
        <v>104.8</v>
      </c>
      <c r="J75">
        <v>123.8</v>
      </c>
      <c r="K75">
        <v>131.4</v>
      </c>
      <c r="L75">
        <v>127.2</v>
      </c>
      <c r="M75">
        <v>93.2</v>
      </c>
      <c r="N75">
        <v>127.4</v>
      </c>
      <c r="O75">
        <v>117</v>
      </c>
      <c r="P75">
        <v>129.19999999999999</v>
      </c>
      <c r="Q75">
        <v>123.9</v>
      </c>
      <c r="R75" s="12">
        <f t="shared" si="6"/>
        <v>6.4987814784728789E-3</v>
      </c>
      <c r="S75">
        <v>128.80000000000001</v>
      </c>
      <c r="T75">
        <v>121.7</v>
      </c>
      <c r="U75">
        <v>116.9</v>
      </c>
      <c r="V75">
        <v>120.9</v>
      </c>
      <c r="W75">
        <v>118.6</v>
      </c>
      <c r="X75">
        <v>114.4</v>
      </c>
      <c r="Y75" s="12">
        <f t="shared" si="7"/>
        <v>-5.1409618573797583E-2</v>
      </c>
      <c r="Z75">
        <v>118</v>
      </c>
      <c r="AA75">
        <v>114.3</v>
      </c>
      <c r="AB75" s="12">
        <f t="shared" si="8"/>
        <v>-3.2994923857868071E-2</v>
      </c>
      <c r="AC75">
        <v>108.4</v>
      </c>
      <c r="AD75">
        <v>115.4</v>
      </c>
      <c r="AE75">
        <v>120.6</v>
      </c>
      <c r="AF75">
        <v>111.3</v>
      </c>
      <c r="AG75">
        <v>113.8</v>
      </c>
      <c r="AH75">
        <v>119.1</v>
      </c>
      <c r="AI75" t="str">
        <f t="shared" si="9"/>
        <v>No</v>
      </c>
    </row>
    <row r="76" spans="1:35" x14ac:dyDescent="0.25">
      <c r="A76" t="s">
        <v>33</v>
      </c>
      <c r="B76">
        <v>2015</v>
      </c>
      <c r="C76">
        <v>3</v>
      </c>
      <c r="D76" s="13">
        <f t="shared" si="5"/>
        <v>42064</v>
      </c>
      <c r="E76">
        <v>123.5</v>
      </c>
      <c r="F76">
        <v>125.4</v>
      </c>
      <c r="G76">
        <v>116.8</v>
      </c>
      <c r="H76">
        <v>126</v>
      </c>
      <c r="I76">
        <v>109.2</v>
      </c>
      <c r="J76">
        <v>127.6</v>
      </c>
      <c r="K76">
        <v>129.19999999999999</v>
      </c>
      <c r="L76">
        <v>122.4</v>
      </c>
      <c r="M76">
        <v>97</v>
      </c>
      <c r="N76">
        <v>122.1</v>
      </c>
      <c r="O76">
        <v>118.1</v>
      </c>
      <c r="P76">
        <v>128.4</v>
      </c>
      <c r="Q76">
        <v>123.4</v>
      </c>
      <c r="R76" s="12">
        <f t="shared" si="6"/>
        <v>-4.0355125100887809E-3</v>
      </c>
      <c r="S76">
        <v>125.8</v>
      </c>
      <c r="T76">
        <v>124.3</v>
      </c>
      <c r="U76">
        <v>120.4</v>
      </c>
      <c r="V76">
        <v>123.7</v>
      </c>
      <c r="W76">
        <v>118.6</v>
      </c>
      <c r="X76">
        <v>118.3</v>
      </c>
      <c r="Y76" s="12">
        <f t="shared" si="7"/>
        <v>3.4090909090909012E-2</v>
      </c>
      <c r="Z76">
        <v>119.2</v>
      </c>
      <c r="AA76">
        <v>116.7</v>
      </c>
      <c r="AB76" s="12">
        <f t="shared" si="8"/>
        <v>2.0997375328084041E-2</v>
      </c>
      <c r="AC76">
        <v>109.9</v>
      </c>
      <c r="AD76">
        <v>115.4</v>
      </c>
      <c r="AE76">
        <v>120.1</v>
      </c>
      <c r="AF76">
        <v>111</v>
      </c>
      <c r="AG76">
        <v>114.7</v>
      </c>
      <c r="AH76">
        <v>120.2</v>
      </c>
      <c r="AI76" t="str">
        <f t="shared" si="9"/>
        <v>No</v>
      </c>
    </row>
    <row r="77" spans="1:35" x14ac:dyDescent="0.25">
      <c r="A77" t="s">
        <v>30</v>
      </c>
      <c r="B77">
        <v>2016</v>
      </c>
      <c r="C77">
        <v>3</v>
      </c>
      <c r="D77" s="13">
        <f t="shared" si="5"/>
        <v>42430</v>
      </c>
      <c r="E77">
        <v>127.3</v>
      </c>
      <c r="F77">
        <v>134.4</v>
      </c>
      <c r="G77">
        <v>125.1</v>
      </c>
      <c r="H77">
        <v>130.5</v>
      </c>
      <c r="I77">
        <v>118.3</v>
      </c>
      <c r="J77">
        <v>131.69999999999999</v>
      </c>
      <c r="K77">
        <v>130.69999999999999</v>
      </c>
      <c r="L77">
        <v>161.19999999999999</v>
      </c>
      <c r="M77">
        <v>100.4</v>
      </c>
      <c r="N77">
        <v>130.80000000000001</v>
      </c>
      <c r="O77">
        <v>124.9</v>
      </c>
      <c r="P77">
        <v>137</v>
      </c>
      <c r="Q77">
        <v>130.4</v>
      </c>
      <c r="R77" s="12">
        <f t="shared" si="6"/>
        <v>5.6726094003241488E-2</v>
      </c>
      <c r="S77">
        <v>135</v>
      </c>
      <c r="T77">
        <v>134.4</v>
      </c>
      <c r="U77">
        <v>130.19999999999999</v>
      </c>
      <c r="V77">
        <v>133.80000000000001</v>
      </c>
      <c r="W77" t="s">
        <v>31</v>
      </c>
      <c r="X77">
        <v>127</v>
      </c>
      <c r="Y77" s="12">
        <f t="shared" si="7"/>
        <v>7.3541842772612026E-2</v>
      </c>
      <c r="Z77">
        <v>127.7</v>
      </c>
      <c r="AA77">
        <v>124.8</v>
      </c>
      <c r="AB77" s="12">
        <f t="shared" si="8"/>
        <v>6.9408740359897123E-2</v>
      </c>
      <c r="AC77">
        <v>113.6</v>
      </c>
      <c r="AD77">
        <v>122.5</v>
      </c>
      <c r="AE77">
        <v>127.5</v>
      </c>
      <c r="AF77">
        <v>117.4</v>
      </c>
      <c r="AG77">
        <v>121.1</v>
      </c>
      <c r="AH77">
        <v>128</v>
      </c>
      <c r="AI77" t="str">
        <f t="shared" si="9"/>
        <v>No</v>
      </c>
    </row>
    <row r="78" spans="1:35" x14ac:dyDescent="0.25">
      <c r="A78" t="s">
        <v>32</v>
      </c>
      <c r="B78">
        <v>2016</v>
      </c>
      <c r="C78">
        <v>3</v>
      </c>
      <c r="D78" s="13">
        <f t="shared" si="5"/>
        <v>42430</v>
      </c>
      <c r="E78">
        <v>124.8</v>
      </c>
      <c r="F78">
        <v>136.30000000000001</v>
      </c>
      <c r="G78">
        <v>123.7</v>
      </c>
      <c r="H78">
        <v>129.69999999999999</v>
      </c>
      <c r="I78">
        <v>107.9</v>
      </c>
      <c r="J78">
        <v>119.9</v>
      </c>
      <c r="K78">
        <v>128.1</v>
      </c>
      <c r="L78">
        <v>170.3</v>
      </c>
      <c r="M78">
        <v>101.8</v>
      </c>
      <c r="N78">
        <v>140.1</v>
      </c>
      <c r="O78">
        <v>120.7</v>
      </c>
      <c r="P78">
        <v>135.4</v>
      </c>
      <c r="Q78">
        <v>128.9</v>
      </c>
      <c r="R78" s="12">
        <f t="shared" si="6"/>
        <v>-1.1503067484662576E-2</v>
      </c>
      <c r="S78">
        <v>140.6</v>
      </c>
      <c r="T78">
        <v>126.4</v>
      </c>
      <c r="U78">
        <v>120.3</v>
      </c>
      <c r="V78">
        <v>125.5</v>
      </c>
      <c r="W78">
        <v>124.9</v>
      </c>
      <c r="X78">
        <v>114.8</v>
      </c>
      <c r="Y78" s="12">
        <f t="shared" si="7"/>
        <v>-9.6062992125984278E-2</v>
      </c>
      <c r="Z78">
        <v>122.3</v>
      </c>
      <c r="AA78">
        <v>119.7</v>
      </c>
      <c r="AB78" s="12">
        <f t="shared" si="8"/>
        <v>-4.0865384615384567E-2</v>
      </c>
      <c r="AC78">
        <v>108.5</v>
      </c>
      <c r="AD78">
        <v>119.1</v>
      </c>
      <c r="AE78">
        <v>126.4</v>
      </c>
      <c r="AF78">
        <v>117.1</v>
      </c>
      <c r="AG78">
        <v>117.3</v>
      </c>
      <c r="AH78">
        <v>123.8</v>
      </c>
      <c r="AI78" t="str">
        <f t="shared" si="9"/>
        <v>No</v>
      </c>
    </row>
    <row r="79" spans="1:35" x14ac:dyDescent="0.25">
      <c r="A79" t="s">
        <v>33</v>
      </c>
      <c r="B79">
        <v>2016</v>
      </c>
      <c r="C79">
        <v>3</v>
      </c>
      <c r="D79" s="13">
        <f t="shared" si="5"/>
        <v>42430</v>
      </c>
      <c r="E79">
        <v>126.5</v>
      </c>
      <c r="F79">
        <v>135.1</v>
      </c>
      <c r="G79">
        <v>124.6</v>
      </c>
      <c r="H79">
        <v>130.19999999999999</v>
      </c>
      <c r="I79">
        <v>114.5</v>
      </c>
      <c r="J79">
        <v>126.2</v>
      </c>
      <c r="K79">
        <v>129.80000000000001</v>
      </c>
      <c r="L79">
        <v>164.3</v>
      </c>
      <c r="M79">
        <v>100.9</v>
      </c>
      <c r="N79">
        <v>133.9</v>
      </c>
      <c r="O79">
        <v>123.1</v>
      </c>
      <c r="P79">
        <v>136.30000000000001</v>
      </c>
      <c r="Q79">
        <v>129.80000000000001</v>
      </c>
      <c r="R79" s="12">
        <f t="shared" si="6"/>
        <v>6.9821567106284378E-3</v>
      </c>
      <c r="S79">
        <v>136.5</v>
      </c>
      <c r="T79">
        <v>131.30000000000001</v>
      </c>
      <c r="U79">
        <v>126.1</v>
      </c>
      <c r="V79">
        <v>130.5</v>
      </c>
      <c r="W79">
        <v>124.9</v>
      </c>
      <c r="X79">
        <v>122.4</v>
      </c>
      <c r="Y79" s="12">
        <f t="shared" si="7"/>
        <v>6.6202090592334575E-2</v>
      </c>
      <c r="Z79">
        <v>125.1</v>
      </c>
      <c r="AA79">
        <v>122.9</v>
      </c>
      <c r="AB79" s="12">
        <f t="shared" si="8"/>
        <v>2.6733500417710967E-2</v>
      </c>
      <c r="AC79">
        <v>110.9</v>
      </c>
      <c r="AD79">
        <v>120.6</v>
      </c>
      <c r="AE79">
        <v>126.9</v>
      </c>
      <c r="AF79">
        <v>117.3</v>
      </c>
      <c r="AG79">
        <v>119.3</v>
      </c>
      <c r="AH79">
        <v>126</v>
      </c>
      <c r="AI79" t="str">
        <f t="shared" si="9"/>
        <v>No</v>
      </c>
    </row>
    <row r="80" spans="1:35" x14ac:dyDescent="0.25">
      <c r="A80" t="s">
        <v>30</v>
      </c>
      <c r="B80">
        <v>2017</v>
      </c>
      <c r="C80">
        <v>3</v>
      </c>
      <c r="D80" s="13">
        <f t="shared" si="5"/>
        <v>42795</v>
      </c>
      <c r="E80">
        <v>133.6</v>
      </c>
      <c r="F80">
        <v>138.80000000000001</v>
      </c>
      <c r="G80">
        <v>128.80000000000001</v>
      </c>
      <c r="H80">
        <v>137.19999999999999</v>
      </c>
      <c r="I80">
        <v>121.6</v>
      </c>
      <c r="J80">
        <v>139.69999999999999</v>
      </c>
      <c r="K80">
        <v>119.7</v>
      </c>
      <c r="L80">
        <v>148</v>
      </c>
      <c r="M80">
        <v>116.9</v>
      </c>
      <c r="N80">
        <v>135.6</v>
      </c>
      <c r="O80">
        <v>129.80000000000001</v>
      </c>
      <c r="P80">
        <v>145.4</v>
      </c>
      <c r="Q80">
        <v>133.4</v>
      </c>
      <c r="R80" s="12">
        <f t="shared" si="6"/>
        <v>2.7734976887519216E-2</v>
      </c>
      <c r="S80">
        <v>144.19999999999999</v>
      </c>
      <c r="T80">
        <v>141.6</v>
      </c>
      <c r="U80">
        <v>136.19999999999999</v>
      </c>
      <c r="V80">
        <v>140.80000000000001</v>
      </c>
      <c r="W80" t="s">
        <v>31</v>
      </c>
      <c r="X80">
        <v>134.19999999999999</v>
      </c>
      <c r="Y80" s="12">
        <f t="shared" si="7"/>
        <v>9.6405228758169786E-2</v>
      </c>
      <c r="Z80">
        <v>134.1</v>
      </c>
      <c r="AA80">
        <v>130.6</v>
      </c>
      <c r="AB80" s="12">
        <f t="shared" si="8"/>
        <v>6.2652563059397787E-2</v>
      </c>
      <c r="AC80">
        <v>119.8</v>
      </c>
      <c r="AD80">
        <v>128.30000000000001</v>
      </c>
      <c r="AE80">
        <v>135.19999999999999</v>
      </c>
      <c r="AF80">
        <v>123.3</v>
      </c>
      <c r="AG80">
        <v>127.4</v>
      </c>
      <c r="AH80">
        <v>132.80000000000001</v>
      </c>
      <c r="AI80" t="str">
        <f t="shared" si="9"/>
        <v>No</v>
      </c>
    </row>
    <row r="81" spans="1:35" x14ac:dyDescent="0.25">
      <c r="A81" t="s">
        <v>32</v>
      </c>
      <c r="B81">
        <v>2017</v>
      </c>
      <c r="C81">
        <v>3</v>
      </c>
      <c r="D81" s="13">
        <f t="shared" si="5"/>
        <v>42795</v>
      </c>
      <c r="E81">
        <v>132.69999999999999</v>
      </c>
      <c r="F81">
        <v>139.4</v>
      </c>
      <c r="G81">
        <v>128.4</v>
      </c>
      <c r="H81">
        <v>134.9</v>
      </c>
      <c r="I81">
        <v>114</v>
      </c>
      <c r="J81">
        <v>136.80000000000001</v>
      </c>
      <c r="K81">
        <v>122.2</v>
      </c>
      <c r="L81">
        <v>135.80000000000001</v>
      </c>
      <c r="M81">
        <v>120.3</v>
      </c>
      <c r="N81">
        <v>142.6</v>
      </c>
      <c r="O81">
        <v>123.6</v>
      </c>
      <c r="P81">
        <v>142.4</v>
      </c>
      <c r="Q81">
        <v>132.6</v>
      </c>
      <c r="R81" s="12">
        <f t="shared" si="6"/>
        <v>-5.9970014992504596E-3</v>
      </c>
      <c r="S81">
        <v>147.5</v>
      </c>
      <c r="T81">
        <v>130.80000000000001</v>
      </c>
      <c r="U81">
        <v>122.8</v>
      </c>
      <c r="V81">
        <v>129.6</v>
      </c>
      <c r="W81">
        <v>131.1</v>
      </c>
      <c r="X81">
        <v>120.8</v>
      </c>
      <c r="Y81" s="12">
        <f t="shared" si="7"/>
        <v>-9.9850968703427662E-2</v>
      </c>
      <c r="Z81">
        <v>125.6</v>
      </c>
      <c r="AA81">
        <v>123.1</v>
      </c>
      <c r="AB81" s="12">
        <f t="shared" si="8"/>
        <v>-5.7427258805513019E-2</v>
      </c>
      <c r="AC81">
        <v>115.6</v>
      </c>
      <c r="AD81">
        <v>122.4</v>
      </c>
      <c r="AE81">
        <v>132.80000000000001</v>
      </c>
      <c r="AF81">
        <v>121.7</v>
      </c>
      <c r="AG81">
        <v>122.6</v>
      </c>
      <c r="AH81">
        <v>128.69999999999999</v>
      </c>
      <c r="AI81" t="str">
        <f t="shared" si="9"/>
        <v>No</v>
      </c>
    </row>
    <row r="82" spans="1:35" x14ac:dyDescent="0.25">
      <c r="A82" t="s">
        <v>33</v>
      </c>
      <c r="B82">
        <v>2017</v>
      </c>
      <c r="C82">
        <v>3</v>
      </c>
      <c r="D82" s="13">
        <f t="shared" si="5"/>
        <v>42795</v>
      </c>
      <c r="E82">
        <v>133.30000000000001</v>
      </c>
      <c r="F82">
        <v>139</v>
      </c>
      <c r="G82">
        <v>128.6</v>
      </c>
      <c r="H82">
        <v>136.30000000000001</v>
      </c>
      <c r="I82">
        <v>118.8</v>
      </c>
      <c r="J82">
        <v>138.30000000000001</v>
      </c>
      <c r="K82">
        <v>120.5</v>
      </c>
      <c r="L82">
        <v>143.9</v>
      </c>
      <c r="M82">
        <v>118</v>
      </c>
      <c r="N82">
        <v>137.9</v>
      </c>
      <c r="O82">
        <v>127.2</v>
      </c>
      <c r="P82">
        <v>144</v>
      </c>
      <c r="Q82">
        <v>133.1</v>
      </c>
      <c r="R82" s="12">
        <f t="shared" si="6"/>
        <v>3.770739064856712E-3</v>
      </c>
      <c r="S82">
        <v>145.1</v>
      </c>
      <c r="T82">
        <v>137.30000000000001</v>
      </c>
      <c r="U82">
        <v>130.6</v>
      </c>
      <c r="V82">
        <v>136.4</v>
      </c>
      <c r="W82">
        <v>131.1</v>
      </c>
      <c r="X82">
        <v>129.1</v>
      </c>
      <c r="Y82" s="12">
        <f t="shared" si="7"/>
        <v>6.8708609271523155E-2</v>
      </c>
      <c r="Z82">
        <v>130.1</v>
      </c>
      <c r="AA82">
        <v>127.8</v>
      </c>
      <c r="AB82" s="12">
        <f t="shared" si="8"/>
        <v>3.8180341186027644E-2</v>
      </c>
      <c r="AC82">
        <v>117.6</v>
      </c>
      <c r="AD82">
        <v>125</v>
      </c>
      <c r="AE82">
        <v>133.80000000000001</v>
      </c>
      <c r="AF82">
        <v>122.6</v>
      </c>
      <c r="AG82">
        <v>125.1</v>
      </c>
      <c r="AH82">
        <v>130.9</v>
      </c>
      <c r="AI82" t="str">
        <f t="shared" si="9"/>
        <v>No</v>
      </c>
    </row>
    <row r="83" spans="1:35" x14ac:dyDescent="0.25">
      <c r="A83" t="s">
        <v>30</v>
      </c>
      <c r="B83">
        <v>2018</v>
      </c>
      <c r="C83">
        <v>3</v>
      </c>
      <c r="D83" s="13">
        <f t="shared" si="5"/>
        <v>43160</v>
      </c>
      <c r="E83">
        <v>136.80000000000001</v>
      </c>
      <c r="F83">
        <v>143.80000000000001</v>
      </c>
      <c r="G83">
        <v>140</v>
      </c>
      <c r="H83">
        <v>142</v>
      </c>
      <c r="I83">
        <v>123.2</v>
      </c>
      <c r="J83">
        <v>152.9</v>
      </c>
      <c r="K83">
        <v>138</v>
      </c>
      <c r="L83">
        <v>129.30000000000001</v>
      </c>
      <c r="M83">
        <v>117.1</v>
      </c>
      <c r="N83">
        <v>136.30000000000001</v>
      </c>
      <c r="O83">
        <v>131.19999999999999</v>
      </c>
      <c r="P83">
        <v>152.80000000000001</v>
      </c>
      <c r="Q83">
        <v>138.6</v>
      </c>
      <c r="R83" s="12">
        <f t="shared" si="6"/>
        <v>4.1322314049586778E-2</v>
      </c>
      <c r="S83">
        <v>155.1</v>
      </c>
      <c r="T83">
        <v>149.19999999999999</v>
      </c>
      <c r="U83">
        <v>143</v>
      </c>
      <c r="V83">
        <v>148.30000000000001</v>
      </c>
      <c r="W83" t="s">
        <v>31</v>
      </c>
      <c r="X83">
        <v>142.6</v>
      </c>
      <c r="Y83" s="12">
        <f t="shared" si="7"/>
        <v>0.104570100697134</v>
      </c>
      <c r="Z83">
        <v>139.9</v>
      </c>
      <c r="AA83">
        <v>136.69999999999999</v>
      </c>
      <c r="AB83" s="12">
        <f t="shared" si="8"/>
        <v>6.9640062597809013E-2</v>
      </c>
      <c r="AC83">
        <v>124.6</v>
      </c>
      <c r="AD83">
        <v>135.1</v>
      </c>
      <c r="AE83">
        <v>142.69999999999999</v>
      </c>
      <c r="AF83">
        <v>129.30000000000001</v>
      </c>
      <c r="AG83">
        <v>133.30000000000001</v>
      </c>
      <c r="AH83">
        <v>138.69999999999999</v>
      </c>
      <c r="AI83" t="str">
        <f t="shared" si="9"/>
        <v>No</v>
      </c>
    </row>
    <row r="84" spans="1:35" x14ac:dyDescent="0.25">
      <c r="A84" t="s">
        <v>32</v>
      </c>
      <c r="B84">
        <v>2018</v>
      </c>
      <c r="C84">
        <v>3</v>
      </c>
      <c r="D84" s="13">
        <f t="shared" si="5"/>
        <v>43160</v>
      </c>
      <c r="E84">
        <v>135</v>
      </c>
      <c r="F84">
        <v>143.1</v>
      </c>
      <c r="G84">
        <v>135.5</v>
      </c>
      <c r="H84">
        <v>139.9</v>
      </c>
      <c r="I84">
        <v>116.5</v>
      </c>
      <c r="J84">
        <v>138.5</v>
      </c>
      <c r="K84">
        <v>128</v>
      </c>
      <c r="L84">
        <v>115.5</v>
      </c>
      <c r="M84">
        <v>114.2</v>
      </c>
      <c r="N84">
        <v>140.69999999999999</v>
      </c>
      <c r="O84">
        <v>126.2</v>
      </c>
      <c r="P84">
        <v>147.6</v>
      </c>
      <c r="Q84">
        <v>134.80000000000001</v>
      </c>
      <c r="R84" s="12">
        <f t="shared" si="6"/>
        <v>-2.7417027417027295E-2</v>
      </c>
      <c r="S84">
        <v>159.69999999999999</v>
      </c>
      <c r="T84">
        <v>136.69999999999999</v>
      </c>
      <c r="U84">
        <v>126.7</v>
      </c>
      <c r="V84">
        <v>135.19999999999999</v>
      </c>
      <c r="W84">
        <v>142</v>
      </c>
      <c r="X84">
        <v>126.4</v>
      </c>
      <c r="Y84" s="12">
        <f t="shared" si="7"/>
        <v>-0.1136044880785413</v>
      </c>
      <c r="Z84">
        <v>130.80000000000001</v>
      </c>
      <c r="AA84">
        <v>130.5</v>
      </c>
      <c r="AB84" s="12">
        <f t="shared" si="8"/>
        <v>-4.5354791514264733E-2</v>
      </c>
      <c r="AC84">
        <v>117.8</v>
      </c>
      <c r="AD84">
        <v>126.8</v>
      </c>
      <c r="AE84">
        <v>137.80000000000001</v>
      </c>
      <c r="AF84">
        <v>126.7</v>
      </c>
      <c r="AG84">
        <v>127.1</v>
      </c>
      <c r="AH84">
        <v>134</v>
      </c>
      <c r="AI84" t="str">
        <f t="shared" si="9"/>
        <v>No</v>
      </c>
    </row>
    <row r="85" spans="1:35" x14ac:dyDescent="0.25">
      <c r="A85" t="s">
        <v>33</v>
      </c>
      <c r="B85">
        <v>2018</v>
      </c>
      <c r="C85">
        <v>3</v>
      </c>
      <c r="D85" s="13">
        <f t="shared" si="5"/>
        <v>43160</v>
      </c>
      <c r="E85">
        <v>136.19999999999999</v>
      </c>
      <c r="F85">
        <v>143.6</v>
      </c>
      <c r="G85">
        <v>138.30000000000001</v>
      </c>
      <c r="H85">
        <v>141.19999999999999</v>
      </c>
      <c r="I85">
        <v>120.7</v>
      </c>
      <c r="J85">
        <v>146.19999999999999</v>
      </c>
      <c r="K85">
        <v>134.6</v>
      </c>
      <c r="L85">
        <v>124.6</v>
      </c>
      <c r="M85">
        <v>116.1</v>
      </c>
      <c r="N85">
        <v>137.80000000000001</v>
      </c>
      <c r="O85">
        <v>129.1</v>
      </c>
      <c r="P85">
        <v>150.4</v>
      </c>
      <c r="Q85">
        <v>137.19999999999999</v>
      </c>
      <c r="R85" s="12">
        <f t="shared" si="6"/>
        <v>1.7804154302670454E-2</v>
      </c>
      <c r="S85">
        <v>156.30000000000001</v>
      </c>
      <c r="T85">
        <v>144.30000000000001</v>
      </c>
      <c r="U85">
        <v>136.19999999999999</v>
      </c>
      <c r="V85">
        <v>143.1</v>
      </c>
      <c r="W85">
        <v>142</v>
      </c>
      <c r="X85">
        <v>136.5</v>
      </c>
      <c r="Y85" s="12">
        <f t="shared" si="7"/>
        <v>7.9905063291139194E-2</v>
      </c>
      <c r="Z85">
        <v>135.6</v>
      </c>
      <c r="AA85">
        <v>134.30000000000001</v>
      </c>
      <c r="AB85" s="12">
        <f t="shared" si="8"/>
        <v>2.9118773946360241E-2</v>
      </c>
      <c r="AC85">
        <v>121</v>
      </c>
      <c r="AD85">
        <v>130.4</v>
      </c>
      <c r="AE85">
        <v>139.80000000000001</v>
      </c>
      <c r="AF85">
        <v>128.19999999999999</v>
      </c>
      <c r="AG85">
        <v>130.30000000000001</v>
      </c>
      <c r="AH85">
        <v>136.5</v>
      </c>
      <c r="AI85" t="str">
        <f t="shared" si="9"/>
        <v>No</v>
      </c>
    </row>
    <row r="86" spans="1:35" x14ac:dyDescent="0.25">
      <c r="A86" t="s">
        <v>30</v>
      </c>
      <c r="B86">
        <v>2019</v>
      </c>
      <c r="C86">
        <v>3</v>
      </c>
      <c r="D86" s="13">
        <f t="shared" si="5"/>
        <v>43525</v>
      </c>
      <c r="E86">
        <v>136.9</v>
      </c>
      <c r="F86">
        <v>154.1</v>
      </c>
      <c r="G86">
        <v>138.69999999999999</v>
      </c>
      <c r="H86">
        <v>142.5</v>
      </c>
      <c r="I86">
        <v>124.1</v>
      </c>
      <c r="J86">
        <v>136.1</v>
      </c>
      <c r="K86">
        <v>128.19999999999999</v>
      </c>
      <c r="L86">
        <v>122.3</v>
      </c>
      <c r="M86">
        <v>108.3</v>
      </c>
      <c r="N86">
        <v>138.9</v>
      </c>
      <c r="O86">
        <v>137.4</v>
      </c>
      <c r="P86">
        <v>156.4</v>
      </c>
      <c r="Q86">
        <v>137.30000000000001</v>
      </c>
      <c r="R86" s="12">
        <f t="shared" si="6"/>
        <v>7.2886297376109871E-4</v>
      </c>
      <c r="S86">
        <v>162.9</v>
      </c>
      <c r="T86">
        <v>150.80000000000001</v>
      </c>
      <c r="U86">
        <v>146.1</v>
      </c>
      <c r="V86">
        <v>150.1</v>
      </c>
      <c r="W86" t="s">
        <v>31</v>
      </c>
      <c r="X86">
        <v>146.4</v>
      </c>
      <c r="Y86" s="12">
        <f t="shared" si="7"/>
        <v>7.2527472527472575E-2</v>
      </c>
      <c r="Z86">
        <v>150</v>
      </c>
      <c r="AA86">
        <v>150.4</v>
      </c>
      <c r="AB86" s="12">
        <f t="shared" si="8"/>
        <v>0.11988086373790018</v>
      </c>
      <c r="AC86">
        <v>129.9</v>
      </c>
      <c r="AD86">
        <v>143.80000000000001</v>
      </c>
      <c r="AE86">
        <v>155.5</v>
      </c>
      <c r="AF86">
        <v>134</v>
      </c>
      <c r="AG86">
        <v>142.4</v>
      </c>
      <c r="AH86">
        <v>141.19999999999999</v>
      </c>
      <c r="AI86" t="str">
        <f t="shared" si="9"/>
        <v>No</v>
      </c>
    </row>
    <row r="87" spans="1:35" x14ac:dyDescent="0.25">
      <c r="A87" t="s">
        <v>32</v>
      </c>
      <c r="B87">
        <v>2019</v>
      </c>
      <c r="C87">
        <v>3</v>
      </c>
      <c r="D87" s="13">
        <f t="shared" si="5"/>
        <v>43525</v>
      </c>
      <c r="E87">
        <v>139.69999999999999</v>
      </c>
      <c r="F87">
        <v>151.1</v>
      </c>
      <c r="G87">
        <v>142.9</v>
      </c>
      <c r="H87">
        <v>141.9</v>
      </c>
      <c r="I87">
        <v>118.4</v>
      </c>
      <c r="J87">
        <v>139.4</v>
      </c>
      <c r="K87">
        <v>141.19999999999999</v>
      </c>
      <c r="L87">
        <v>120.7</v>
      </c>
      <c r="M87">
        <v>110.4</v>
      </c>
      <c r="N87">
        <v>140.69999999999999</v>
      </c>
      <c r="O87">
        <v>128.5</v>
      </c>
      <c r="P87">
        <v>153.9</v>
      </c>
      <c r="Q87">
        <v>139.6</v>
      </c>
      <c r="R87" s="12">
        <f t="shared" si="6"/>
        <v>1.6751638747268628E-2</v>
      </c>
      <c r="S87">
        <v>165.3</v>
      </c>
      <c r="T87">
        <v>143.5</v>
      </c>
      <c r="U87">
        <v>131.19999999999999</v>
      </c>
      <c r="V87">
        <v>141.6</v>
      </c>
      <c r="W87">
        <v>149</v>
      </c>
      <c r="X87">
        <v>128.80000000000001</v>
      </c>
      <c r="Y87" s="12">
        <f t="shared" si="7"/>
        <v>-0.12021857923497263</v>
      </c>
      <c r="Z87">
        <v>136.80000000000001</v>
      </c>
      <c r="AA87">
        <v>139.19999999999999</v>
      </c>
      <c r="AB87" s="12">
        <f t="shared" si="8"/>
        <v>-7.4468085106383086E-2</v>
      </c>
      <c r="AC87">
        <v>119.9</v>
      </c>
      <c r="AD87">
        <v>133</v>
      </c>
      <c r="AE87">
        <v>146.69999999999999</v>
      </c>
      <c r="AF87">
        <v>132.5</v>
      </c>
      <c r="AG87">
        <v>132.80000000000001</v>
      </c>
      <c r="AH87">
        <v>139.5</v>
      </c>
      <c r="AI87" t="str">
        <f t="shared" si="9"/>
        <v>No</v>
      </c>
    </row>
    <row r="88" spans="1:35" x14ac:dyDescent="0.25">
      <c r="A88" t="s">
        <v>33</v>
      </c>
      <c r="B88">
        <v>2019</v>
      </c>
      <c r="C88">
        <v>3</v>
      </c>
      <c r="D88" s="13">
        <f t="shared" si="5"/>
        <v>43525</v>
      </c>
      <c r="E88">
        <v>137.80000000000001</v>
      </c>
      <c r="F88">
        <v>153</v>
      </c>
      <c r="G88">
        <v>140.30000000000001</v>
      </c>
      <c r="H88">
        <v>142.30000000000001</v>
      </c>
      <c r="I88">
        <v>122</v>
      </c>
      <c r="J88">
        <v>137.6</v>
      </c>
      <c r="K88">
        <v>132.6</v>
      </c>
      <c r="L88">
        <v>121.8</v>
      </c>
      <c r="M88">
        <v>109</v>
      </c>
      <c r="N88">
        <v>139.5</v>
      </c>
      <c r="O88">
        <v>133.69999999999999</v>
      </c>
      <c r="P88">
        <v>155.19999999999999</v>
      </c>
      <c r="Q88">
        <v>138.1</v>
      </c>
      <c r="R88" s="12">
        <f t="shared" si="6"/>
        <v>-1.0744985673352437E-2</v>
      </c>
      <c r="S88">
        <v>163.5</v>
      </c>
      <c r="T88">
        <v>147.9</v>
      </c>
      <c r="U88">
        <v>139.9</v>
      </c>
      <c r="V88">
        <v>146.69999999999999</v>
      </c>
      <c r="W88">
        <v>149</v>
      </c>
      <c r="X88">
        <v>139.69999999999999</v>
      </c>
      <c r="Y88" s="12">
        <f t="shared" si="7"/>
        <v>8.4627329192546397E-2</v>
      </c>
      <c r="Z88">
        <v>143.80000000000001</v>
      </c>
      <c r="AA88">
        <v>146.19999999999999</v>
      </c>
      <c r="AB88" s="12">
        <f t="shared" si="8"/>
        <v>5.0287356321839081E-2</v>
      </c>
      <c r="AC88">
        <v>124.6</v>
      </c>
      <c r="AD88">
        <v>137.69999999999999</v>
      </c>
      <c r="AE88">
        <v>150.30000000000001</v>
      </c>
      <c r="AF88">
        <v>133.4</v>
      </c>
      <c r="AG88">
        <v>137.69999999999999</v>
      </c>
      <c r="AH88">
        <v>140.4</v>
      </c>
      <c r="AI88" t="str">
        <f t="shared" si="9"/>
        <v>No</v>
      </c>
    </row>
    <row r="89" spans="1:35" x14ac:dyDescent="0.25">
      <c r="A89" t="s">
        <v>30</v>
      </c>
      <c r="B89">
        <v>2020</v>
      </c>
      <c r="C89">
        <v>3</v>
      </c>
      <c r="D89" s="13">
        <f t="shared" si="5"/>
        <v>43891</v>
      </c>
      <c r="E89">
        <v>144.4</v>
      </c>
      <c r="F89">
        <v>166.8</v>
      </c>
      <c r="G89">
        <v>147.6</v>
      </c>
      <c r="H89">
        <v>151.69999999999999</v>
      </c>
      <c r="I89">
        <v>133.30000000000001</v>
      </c>
      <c r="J89">
        <v>141.80000000000001</v>
      </c>
      <c r="K89">
        <v>152.30000000000001</v>
      </c>
      <c r="L89">
        <v>141.80000000000001</v>
      </c>
      <c r="M89">
        <v>112.6</v>
      </c>
      <c r="N89">
        <v>154</v>
      </c>
      <c r="O89">
        <v>140.1</v>
      </c>
      <c r="P89">
        <v>160</v>
      </c>
      <c r="Q89">
        <v>148.19999999999999</v>
      </c>
      <c r="R89" s="12">
        <f t="shared" si="6"/>
        <v>7.3135409123823283E-2</v>
      </c>
      <c r="S89">
        <v>170.5</v>
      </c>
      <c r="T89">
        <v>153.4</v>
      </c>
      <c r="U89">
        <v>147.6</v>
      </c>
      <c r="V89">
        <v>152.5</v>
      </c>
      <c r="W89" t="s">
        <v>31</v>
      </c>
      <c r="X89">
        <v>153.4</v>
      </c>
      <c r="Y89" s="12">
        <f t="shared" si="7"/>
        <v>9.806728704366513E-2</v>
      </c>
      <c r="Z89">
        <v>151.5</v>
      </c>
      <c r="AA89">
        <v>156.69999999999999</v>
      </c>
      <c r="AB89" s="12">
        <f t="shared" si="8"/>
        <v>7.1819425444596449E-2</v>
      </c>
      <c r="AC89">
        <v>135.80000000000001</v>
      </c>
      <c r="AD89">
        <v>151.19999999999999</v>
      </c>
      <c r="AE89">
        <v>161.19999999999999</v>
      </c>
      <c r="AF89">
        <v>145.1</v>
      </c>
      <c r="AG89">
        <v>148.6</v>
      </c>
      <c r="AH89">
        <v>149.80000000000001</v>
      </c>
      <c r="AI89" t="str">
        <f t="shared" si="9"/>
        <v>No</v>
      </c>
    </row>
    <row r="90" spans="1:35" x14ac:dyDescent="0.25">
      <c r="A90" t="s">
        <v>32</v>
      </c>
      <c r="B90">
        <v>2020</v>
      </c>
      <c r="C90">
        <v>3</v>
      </c>
      <c r="D90" s="13">
        <f t="shared" si="5"/>
        <v>43891</v>
      </c>
      <c r="E90">
        <v>146.5</v>
      </c>
      <c r="F90">
        <v>167.5</v>
      </c>
      <c r="G90">
        <v>148.9</v>
      </c>
      <c r="H90">
        <v>151.1</v>
      </c>
      <c r="I90">
        <v>127.5</v>
      </c>
      <c r="J90">
        <v>143.30000000000001</v>
      </c>
      <c r="K90">
        <v>167</v>
      </c>
      <c r="L90">
        <v>139.69999999999999</v>
      </c>
      <c r="M90">
        <v>114.4</v>
      </c>
      <c r="N90">
        <v>151.5</v>
      </c>
      <c r="O90">
        <v>131.9</v>
      </c>
      <c r="P90">
        <v>159.1</v>
      </c>
      <c r="Q90">
        <v>150.1</v>
      </c>
      <c r="R90" s="12">
        <f t="shared" si="6"/>
        <v>1.282051282051286E-2</v>
      </c>
      <c r="S90">
        <v>173.3</v>
      </c>
      <c r="T90">
        <v>147.69999999999999</v>
      </c>
      <c r="U90">
        <v>133.80000000000001</v>
      </c>
      <c r="V90">
        <v>145.6</v>
      </c>
      <c r="W90">
        <v>154.5</v>
      </c>
      <c r="X90">
        <v>141.4</v>
      </c>
      <c r="Y90" s="12">
        <f t="shared" si="7"/>
        <v>-7.822685788787484E-2</v>
      </c>
      <c r="Z90">
        <v>140.80000000000001</v>
      </c>
      <c r="AA90">
        <v>145</v>
      </c>
      <c r="AB90" s="12">
        <f t="shared" si="8"/>
        <v>-7.4664964901084804E-2</v>
      </c>
      <c r="AC90">
        <v>124.6</v>
      </c>
      <c r="AD90">
        <v>137.9</v>
      </c>
      <c r="AE90">
        <v>152.5</v>
      </c>
      <c r="AF90">
        <v>145.30000000000001</v>
      </c>
      <c r="AG90">
        <v>138.69999999999999</v>
      </c>
      <c r="AH90">
        <v>147.30000000000001</v>
      </c>
      <c r="AI90" t="str">
        <f t="shared" si="9"/>
        <v>No</v>
      </c>
    </row>
    <row r="91" spans="1:35" x14ac:dyDescent="0.25">
      <c r="A91" t="s">
        <v>33</v>
      </c>
      <c r="B91">
        <v>2020</v>
      </c>
      <c r="C91">
        <v>3</v>
      </c>
      <c r="D91" s="13">
        <f t="shared" si="5"/>
        <v>43891</v>
      </c>
      <c r="E91">
        <v>145.1</v>
      </c>
      <c r="F91">
        <v>167</v>
      </c>
      <c r="G91">
        <v>148.1</v>
      </c>
      <c r="H91">
        <v>151.5</v>
      </c>
      <c r="I91">
        <v>131.19999999999999</v>
      </c>
      <c r="J91">
        <v>142.5</v>
      </c>
      <c r="K91">
        <v>157.30000000000001</v>
      </c>
      <c r="L91">
        <v>141.1</v>
      </c>
      <c r="M91">
        <v>113.2</v>
      </c>
      <c r="N91">
        <v>153.19999999999999</v>
      </c>
      <c r="O91">
        <v>136.69999999999999</v>
      </c>
      <c r="P91">
        <v>159.6</v>
      </c>
      <c r="Q91">
        <v>148.9</v>
      </c>
      <c r="R91" s="12">
        <f t="shared" si="6"/>
        <v>-7.9946702198533549E-3</v>
      </c>
      <c r="S91">
        <v>171.2</v>
      </c>
      <c r="T91">
        <v>151.19999999999999</v>
      </c>
      <c r="U91">
        <v>141.9</v>
      </c>
      <c r="V91">
        <v>149.80000000000001</v>
      </c>
      <c r="W91">
        <v>154.5</v>
      </c>
      <c r="X91">
        <v>148.9</v>
      </c>
      <c r="Y91" s="12">
        <f t="shared" si="7"/>
        <v>5.3041018387553041E-2</v>
      </c>
      <c r="Z91">
        <v>146.4</v>
      </c>
      <c r="AA91">
        <v>152.30000000000001</v>
      </c>
      <c r="AB91" s="12">
        <f t="shared" si="8"/>
        <v>5.0344827586206974E-2</v>
      </c>
      <c r="AC91">
        <v>129.9</v>
      </c>
      <c r="AD91">
        <v>143.69999999999999</v>
      </c>
      <c r="AE91">
        <v>156.1</v>
      </c>
      <c r="AF91">
        <v>145.19999999999999</v>
      </c>
      <c r="AG91">
        <v>143.80000000000001</v>
      </c>
      <c r="AH91">
        <v>148.6</v>
      </c>
      <c r="AI91" t="str">
        <f t="shared" si="9"/>
        <v>No</v>
      </c>
    </row>
    <row r="92" spans="1:35" x14ac:dyDescent="0.25">
      <c r="A92" t="s">
        <v>30</v>
      </c>
      <c r="B92">
        <v>2021</v>
      </c>
      <c r="C92">
        <v>3</v>
      </c>
      <c r="D92" s="13">
        <f t="shared" si="5"/>
        <v>44256</v>
      </c>
      <c r="E92">
        <v>142.5</v>
      </c>
      <c r="F92">
        <v>189.4</v>
      </c>
      <c r="G92">
        <v>163.19999999999999</v>
      </c>
      <c r="H92">
        <v>154.5</v>
      </c>
      <c r="I92">
        <v>168.2</v>
      </c>
      <c r="J92">
        <v>150.5</v>
      </c>
      <c r="K92">
        <v>141</v>
      </c>
      <c r="L92">
        <v>159.19999999999999</v>
      </c>
      <c r="M92">
        <v>111.7</v>
      </c>
      <c r="N92">
        <v>164</v>
      </c>
      <c r="O92">
        <v>160.6</v>
      </c>
      <c r="P92">
        <v>166.4</v>
      </c>
      <c r="Q92">
        <v>154.5</v>
      </c>
      <c r="R92" s="12">
        <f t="shared" si="6"/>
        <v>3.7609133646742739E-2</v>
      </c>
      <c r="S92">
        <v>186.1</v>
      </c>
      <c r="T92">
        <v>159.6</v>
      </c>
      <c r="U92">
        <v>154.4</v>
      </c>
      <c r="V92">
        <v>158.9</v>
      </c>
      <c r="W92" t="s">
        <v>31</v>
      </c>
      <c r="X92">
        <v>156</v>
      </c>
      <c r="Y92" s="12">
        <f t="shared" si="7"/>
        <v>4.7683008730691701E-2</v>
      </c>
      <c r="Z92">
        <v>154.80000000000001</v>
      </c>
      <c r="AA92">
        <v>164.6</v>
      </c>
      <c r="AB92" s="12">
        <f t="shared" si="8"/>
        <v>8.0761654629021545E-2</v>
      </c>
      <c r="AC92">
        <v>151.30000000000001</v>
      </c>
      <c r="AD92">
        <v>157.80000000000001</v>
      </c>
      <c r="AE92">
        <v>163.80000000000001</v>
      </c>
      <c r="AF92">
        <v>153.1</v>
      </c>
      <c r="AG92">
        <v>157.30000000000001</v>
      </c>
      <c r="AH92">
        <v>156.69999999999999</v>
      </c>
      <c r="AI92" t="str">
        <f t="shared" si="9"/>
        <v>No</v>
      </c>
    </row>
    <row r="93" spans="1:35" x14ac:dyDescent="0.25">
      <c r="A93" t="s">
        <v>32</v>
      </c>
      <c r="B93">
        <v>2021</v>
      </c>
      <c r="C93">
        <v>3</v>
      </c>
      <c r="D93" s="13">
        <f t="shared" si="5"/>
        <v>44256</v>
      </c>
      <c r="E93">
        <v>147.5</v>
      </c>
      <c r="F93">
        <v>197.5</v>
      </c>
      <c r="G93">
        <v>164.7</v>
      </c>
      <c r="H93">
        <v>155.6</v>
      </c>
      <c r="I93">
        <v>156.4</v>
      </c>
      <c r="J93">
        <v>157.30000000000001</v>
      </c>
      <c r="K93">
        <v>166.1</v>
      </c>
      <c r="L93">
        <v>161.1</v>
      </c>
      <c r="M93">
        <v>114.3</v>
      </c>
      <c r="N93">
        <v>162.6</v>
      </c>
      <c r="O93">
        <v>150.69999999999999</v>
      </c>
      <c r="P93">
        <v>170.3</v>
      </c>
      <c r="Q93">
        <v>160.4</v>
      </c>
      <c r="R93" s="12">
        <f t="shared" si="6"/>
        <v>3.8187702265372207E-2</v>
      </c>
      <c r="S93">
        <v>193.5</v>
      </c>
      <c r="T93">
        <v>155.1</v>
      </c>
      <c r="U93">
        <v>138.69999999999999</v>
      </c>
      <c r="V93">
        <v>152.6</v>
      </c>
      <c r="W93">
        <v>159.9</v>
      </c>
      <c r="X93">
        <v>154.80000000000001</v>
      </c>
      <c r="Y93" s="12">
        <f t="shared" si="7"/>
        <v>-7.692307692307619E-3</v>
      </c>
      <c r="Z93">
        <v>147.19999999999999</v>
      </c>
      <c r="AA93">
        <v>156.9</v>
      </c>
      <c r="AB93" s="12">
        <f t="shared" si="8"/>
        <v>-4.6780072904009651E-2</v>
      </c>
      <c r="AC93">
        <v>141.69999999999999</v>
      </c>
      <c r="AD93">
        <v>148.6</v>
      </c>
      <c r="AE93">
        <v>157.6</v>
      </c>
      <c r="AF93">
        <v>154.9</v>
      </c>
      <c r="AG93">
        <v>150</v>
      </c>
      <c r="AH93">
        <v>156.9</v>
      </c>
      <c r="AI93" t="str">
        <f t="shared" si="9"/>
        <v>Yes</v>
      </c>
    </row>
    <row r="94" spans="1:35" x14ac:dyDescent="0.25">
      <c r="A94" t="s">
        <v>33</v>
      </c>
      <c r="B94">
        <v>2021</v>
      </c>
      <c r="C94">
        <v>3</v>
      </c>
      <c r="D94" s="13">
        <f t="shared" si="5"/>
        <v>44256</v>
      </c>
      <c r="E94">
        <v>144.1</v>
      </c>
      <c r="F94">
        <v>192.2</v>
      </c>
      <c r="G94">
        <v>163.80000000000001</v>
      </c>
      <c r="H94">
        <v>154.9</v>
      </c>
      <c r="I94">
        <v>163.9</v>
      </c>
      <c r="J94">
        <v>153.69999999999999</v>
      </c>
      <c r="K94">
        <v>149.5</v>
      </c>
      <c r="L94">
        <v>159.80000000000001</v>
      </c>
      <c r="M94">
        <v>112.6</v>
      </c>
      <c r="N94">
        <v>163.5</v>
      </c>
      <c r="O94">
        <v>156.5</v>
      </c>
      <c r="P94">
        <v>168.2</v>
      </c>
      <c r="Q94">
        <v>156.69999999999999</v>
      </c>
      <c r="R94" s="12">
        <f t="shared" si="6"/>
        <v>-2.306733167082305E-2</v>
      </c>
      <c r="S94">
        <v>188.1</v>
      </c>
      <c r="T94">
        <v>157.80000000000001</v>
      </c>
      <c r="U94">
        <v>147.9</v>
      </c>
      <c r="V94">
        <v>156.4</v>
      </c>
      <c r="W94">
        <v>159.9</v>
      </c>
      <c r="X94">
        <v>155.5</v>
      </c>
      <c r="Y94" s="12">
        <f t="shared" si="7"/>
        <v>4.5219638242893316E-3</v>
      </c>
      <c r="Z94">
        <v>151.19999999999999</v>
      </c>
      <c r="AA94">
        <v>161.69999999999999</v>
      </c>
      <c r="AB94" s="12">
        <f t="shared" si="8"/>
        <v>3.0592734225621306E-2</v>
      </c>
      <c r="AC94">
        <v>146.19999999999999</v>
      </c>
      <c r="AD94">
        <v>152.6</v>
      </c>
      <c r="AE94">
        <v>160.19999999999999</v>
      </c>
      <c r="AF94">
        <v>153.80000000000001</v>
      </c>
      <c r="AG94">
        <v>153.80000000000001</v>
      </c>
      <c r="AH94">
        <v>156.80000000000001</v>
      </c>
      <c r="AI94" t="str">
        <f t="shared" si="9"/>
        <v>No</v>
      </c>
    </row>
    <row r="95" spans="1:35" x14ac:dyDescent="0.25">
      <c r="A95" t="s">
        <v>30</v>
      </c>
      <c r="B95">
        <v>2022</v>
      </c>
      <c r="C95">
        <v>3</v>
      </c>
      <c r="D95" s="13">
        <f t="shared" si="5"/>
        <v>44621</v>
      </c>
      <c r="E95">
        <v>150.19999999999999</v>
      </c>
      <c r="F95">
        <v>208</v>
      </c>
      <c r="G95">
        <v>167.9</v>
      </c>
      <c r="H95">
        <v>162</v>
      </c>
      <c r="I95">
        <v>203.1</v>
      </c>
      <c r="J95">
        <v>155.9</v>
      </c>
      <c r="K95">
        <v>155.80000000000001</v>
      </c>
      <c r="L95">
        <v>164.2</v>
      </c>
      <c r="M95">
        <v>118.1</v>
      </c>
      <c r="N95">
        <v>178.7</v>
      </c>
      <c r="O95">
        <v>171.2</v>
      </c>
      <c r="P95">
        <v>177.4</v>
      </c>
      <c r="Q95">
        <v>166.6</v>
      </c>
      <c r="R95" s="12">
        <f t="shared" si="6"/>
        <v>6.3178047223994935E-2</v>
      </c>
      <c r="S95">
        <v>192.3</v>
      </c>
      <c r="T95">
        <v>175.4</v>
      </c>
      <c r="U95">
        <v>173.2</v>
      </c>
      <c r="V95">
        <v>175.1</v>
      </c>
      <c r="W95" t="s">
        <v>31</v>
      </c>
      <c r="X95">
        <v>168.9</v>
      </c>
      <c r="Y95" s="12">
        <f t="shared" si="7"/>
        <v>8.6173633440514499E-2</v>
      </c>
      <c r="Z95">
        <v>166.5</v>
      </c>
      <c r="AA95">
        <v>176</v>
      </c>
      <c r="AB95" s="12">
        <f t="shared" si="8"/>
        <v>8.8435374149659934E-2</v>
      </c>
      <c r="AC95">
        <v>162</v>
      </c>
      <c r="AD95">
        <v>166.6</v>
      </c>
      <c r="AE95">
        <v>170.6</v>
      </c>
      <c r="AF95">
        <v>167.4</v>
      </c>
      <c r="AG95">
        <v>168.3</v>
      </c>
      <c r="AH95">
        <v>168.7</v>
      </c>
      <c r="AI95" t="str">
        <f t="shared" si="9"/>
        <v>Yes</v>
      </c>
    </row>
    <row r="96" spans="1:35" x14ac:dyDescent="0.25">
      <c r="A96" t="s">
        <v>32</v>
      </c>
      <c r="B96">
        <v>2022</v>
      </c>
      <c r="C96">
        <v>3</v>
      </c>
      <c r="D96" s="13">
        <f t="shared" si="5"/>
        <v>44621</v>
      </c>
      <c r="E96">
        <v>153.69999999999999</v>
      </c>
      <c r="F96">
        <v>215.8</v>
      </c>
      <c r="G96">
        <v>167.7</v>
      </c>
      <c r="H96">
        <v>162.6</v>
      </c>
      <c r="I96">
        <v>180</v>
      </c>
      <c r="J96">
        <v>159.6</v>
      </c>
      <c r="K96">
        <v>188.4</v>
      </c>
      <c r="L96">
        <v>163.4</v>
      </c>
      <c r="M96">
        <v>120.3</v>
      </c>
      <c r="N96">
        <v>174.7</v>
      </c>
      <c r="O96">
        <v>157.1</v>
      </c>
      <c r="P96">
        <v>181.5</v>
      </c>
      <c r="Q96">
        <v>171.5</v>
      </c>
      <c r="R96" s="12">
        <f t="shared" si="6"/>
        <v>2.9411764705882387E-2</v>
      </c>
      <c r="S96">
        <v>197.5</v>
      </c>
      <c r="T96">
        <v>167.1</v>
      </c>
      <c r="U96">
        <v>152.6</v>
      </c>
      <c r="V96">
        <v>164.9</v>
      </c>
      <c r="W96">
        <v>165.3</v>
      </c>
      <c r="X96">
        <v>164.5</v>
      </c>
      <c r="Y96" s="12">
        <f t="shared" si="7"/>
        <v>-2.6050917702782745E-2</v>
      </c>
      <c r="Z96">
        <v>158.6</v>
      </c>
      <c r="AA96">
        <v>168.2</v>
      </c>
      <c r="AB96" s="12">
        <f t="shared" si="8"/>
        <v>-4.4318181818181882E-2</v>
      </c>
      <c r="AC96">
        <v>154.19999999999999</v>
      </c>
      <c r="AD96">
        <v>160.80000000000001</v>
      </c>
      <c r="AE96">
        <v>162.69999999999999</v>
      </c>
      <c r="AF96">
        <v>166.8</v>
      </c>
      <c r="AG96">
        <v>160.6</v>
      </c>
      <c r="AH96">
        <v>166.5</v>
      </c>
      <c r="AI96" t="str">
        <f t="shared" si="9"/>
        <v>Yes</v>
      </c>
    </row>
    <row r="97" spans="1:35" x14ac:dyDescent="0.25">
      <c r="A97" t="s">
        <v>33</v>
      </c>
      <c r="B97">
        <v>2022</v>
      </c>
      <c r="C97">
        <v>3</v>
      </c>
      <c r="D97" s="13">
        <f t="shared" si="5"/>
        <v>44621</v>
      </c>
      <c r="E97">
        <v>151.30000000000001</v>
      </c>
      <c r="F97">
        <v>210.7</v>
      </c>
      <c r="G97">
        <v>167.8</v>
      </c>
      <c r="H97">
        <v>162.19999999999999</v>
      </c>
      <c r="I97">
        <v>194.6</v>
      </c>
      <c r="J97">
        <v>157.6</v>
      </c>
      <c r="K97">
        <v>166.9</v>
      </c>
      <c r="L97">
        <v>163.9</v>
      </c>
      <c r="M97">
        <v>118.8</v>
      </c>
      <c r="N97">
        <v>177.4</v>
      </c>
      <c r="O97">
        <v>165.3</v>
      </c>
      <c r="P97">
        <v>179.3</v>
      </c>
      <c r="Q97">
        <v>168.4</v>
      </c>
      <c r="R97" s="12">
        <f t="shared" si="6"/>
        <v>-1.8075801749271102E-2</v>
      </c>
      <c r="S97">
        <v>193.7</v>
      </c>
      <c r="T97">
        <v>172.1</v>
      </c>
      <c r="U97">
        <v>164.6</v>
      </c>
      <c r="V97">
        <v>171.1</v>
      </c>
      <c r="W97">
        <v>165.3</v>
      </c>
      <c r="X97">
        <v>167.2</v>
      </c>
      <c r="Y97" s="12">
        <f t="shared" si="7"/>
        <v>1.6413373860182302E-2</v>
      </c>
      <c r="Z97">
        <v>162.80000000000001</v>
      </c>
      <c r="AA97">
        <v>173</v>
      </c>
      <c r="AB97" s="12">
        <f t="shared" si="8"/>
        <v>2.8537455410225992E-2</v>
      </c>
      <c r="AC97">
        <v>157.9</v>
      </c>
      <c r="AD97">
        <v>163.30000000000001</v>
      </c>
      <c r="AE97">
        <v>166</v>
      </c>
      <c r="AF97">
        <v>167.2</v>
      </c>
      <c r="AG97">
        <v>164.6</v>
      </c>
      <c r="AH97">
        <v>167.7</v>
      </c>
      <c r="AI97" t="str">
        <f t="shared" si="9"/>
        <v>Yes</v>
      </c>
    </row>
    <row r="98" spans="1:35" x14ac:dyDescent="0.25">
      <c r="A98" t="s">
        <v>30</v>
      </c>
      <c r="B98">
        <v>2023</v>
      </c>
      <c r="C98">
        <v>3</v>
      </c>
      <c r="D98" s="13">
        <f t="shared" si="5"/>
        <v>44986</v>
      </c>
      <c r="E98">
        <v>174.3</v>
      </c>
      <c r="F98">
        <v>205.2</v>
      </c>
      <c r="G98">
        <v>173.9</v>
      </c>
      <c r="H98">
        <v>177</v>
      </c>
      <c r="I98">
        <v>183.3</v>
      </c>
      <c r="J98">
        <v>167.2</v>
      </c>
      <c r="K98">
        <v>140.9</v>
      </c>
      <c r="L98">
        <v>170.5</v>
      </c>
      <c r="M98">
        <v>119.1</v>
      </c>
      <c r="N98">
        <v>212.1</v>
      </c>
      <c r="O98">
        <v>177.6</v>
      </c>
      <c r="P98">
        <v>189.9</v>
      </c>
      <c r="Q98">
        <v>174.8</v>
      </c>
      <c r="R98" s="12">
        <f t="shared" si="6"/>
        <v>3.8004750593824257E-2</v>
      </c>
      <c r="S98">
        <v>198.4</v>
      </c>
      <c r="T98">
        <v>190</v>
      </c>
      <c r="U98">
        <v>187</v>
      </c>
      <c r="V98">
        <v>189.6</v>
      </c>
      <c r="W98" t="s">
        <v>31</v>
      </c>
      <c r="X98">
        <v>181.4</v>
      </c>
      <c r="Y98" s="12">
        <f t="shared" si="7"/>
        <v>8.492822966507188E-2</v>
      </c>
      <c r="Z98">
        <v>178.6</v>
      </c>
      <c r="AA98">
        <v>186.6</v>
      </c>
      <c r="AB98" s="12">
        <f t="shared" si="8"/>
        <v>7.8612716763005741E-2</v>
      </c>
      <c r="AC98">
        <v>169</v>
      </c>
      <c r="AD98">
        <v>172.8</v>
      </c>
      <c r="AE98">
        <v>178.5</v>
      </c>
      <c r="AF98">
        <v>180.7</v>
      </c>
      <c r="AG98">
        <v>177.9</v>
      </c>
      <c r="AH98">
        <v>178</v>
      </c>
      <c r="AI98" t="str">
        <f t="shared" si="9"/>
        <v>No</v>
      </c>
    </row>
    <row r="99" spans="1:35" x14ac:dyDescent="0.25">
      <c r="A99" t="s">
        <v>32</v>
      </c>
      <c r="B99">
        <v>2023</v>
      </c>
      <c r="C99">
        <v>3</v>
      </c>
      <c r="D99" s="13">
        <f t="shared" si="5"/>
        <v>44986</v>
      </c>
      <c r="E99">
        <v>174.7</v>
      </c>
      <c r="F99">
        <v>212.2</v>
      </c>
      <c r="G99">
        <v>177.2</v>
      </c>
      <c r="H99">
        <v>177.9</v>
      </c>
      <c r="I99">
        <v>172.2</v>
      </c>
      <c r="J99">
        <v>172.1</v>
      </c>
      <c r="K99">
        <v>175.9</v>
      </c>
      <c r="L99">
        <v>172.2</v>
      </c>
      <c r="M99">
        <v>121.9</v>
      </c>
      <c r="N99">
        <v>204.8</v>
      </c>
      <c r="O99">
        <v>164.9</v>
      </c>
      <c r="P99">
        <v>196.6</v>
      </c>
      <c r="Q99">
        <v>180.8</v>
      </c>
      <c r="R99" s="12">
        <f t="shared" si="6"/>
        <v>3.4324942791762014E-2</v>
      </c>
      <c r="S99">
        <v>202.7</v>
      </c>
      <c r="T99">
        <v>180.2</v>
      </c>
      <c r="U99">
        <v>167</v>
      </c>
      <c r="V99">
        <v>178.2</v>
      </c>
      <c r="W99">
        <v>173.5</v>
      </c>
      <c r="X99">
        <v>182.6</v>
      </c>
      <c r="Y99" s="12">
        <f t="shared" si="7"/>
        <v>6.6152149944872576E-3</v>
      </c>
      <c r="Z99">
        <v>169.2</v>
      </c>
      <c r="AA99">
        <v>180.8</v>
      </c>
      <c r="AB99" s="12">
        <f t="shared" si="8"/>
        <v>-3.1082529474812343E-2</v>
      </c>
      <c r="AC99">
        <v>159.80000000000001</v>
      </c>
      <c r="AD99">
        <v>168.4</v>
      </c>
      <c r="AE99">
        <v>172.5</v>
      </c>
      <c r="AF99">
        <v>181.5</v>
      </c>
      <c r="AG99">
        <v>170</v>
      </c>
      <c r="AH99">
        <v>176.3</v>
      </c>
      <c r="AI99" t="str">
        <f t="shared" si="9"/>
        <v>Yes</v>
      </c>
    </row>
    <row r="100" spans="1:35" x14ac:dyDescent="0.25">
      <c r="A100" t="s">
        <v>33</v>
      </c>
      <c r="B100">
        <v>2023</v>
      </c>
      <c r="C100">
        <v>3</v>
      </c>
      <c r="D100" s="13">
        <f t="shared" si="5"/>
        <v>44986</v>
      </c>
      <c r="E100">
        <v>174.4</v>
      </c>
      <c r="F100">
        <v>207.7</v>
      </c>
      <c r="G100">
        <v>175.2</v>
      </c>
      <c r="H100">
        <v>177.3</v>
      </c>
      <c r="I100">
        <v>179.2</v>
      </c>
      <c r="J100">
        <v>169.5</v>
      </c>
      <c r="K100">
        <v>152.80000000000001</v>
      </c>
      <c r="L100">
        <v>171.1</v>
      </c>
      <c r="M100">
        <v>120</v>
      </c>
      <c r="N100">
        <v>209.7</v>
      </c>
      <c r="O100">
        <v>172.3</v>
      </c>
      <c r="P100">
        <v>193</v>
      </c>
      <c r="Q100">
        <v>177</v>
      </c>
      <c r="R100" s="12">
        <f t="shared" si="6"/>
        <v>-2.1017699115044308E-2</v>
      </c>
      <c r="S100">
        <v>199.5</v>
      </c>
      <c r="T100">
        <v>186.1</v>
      </c>
      <c r="U100">
        <v>178.7</v>
      </c>
      <c r="V100">
        <v>185.1</v>
      </c>
      <c r="W100">
        <v>173.5</v>
      </c>
      <c r="X100">
        <v>181.9</v>
      </c>
      <c r="Y100" s="12">
        <f t="shared" si="7"/>
        <v>-3.8335158817085907E-3</v>
      </c>
      <c r="Z100">
        <v>174.2</v>
      </c>
      <c r="AA100">
        <v>184.4</v>
      </c>
      <c r="AB100" s="12">
        <f t="shared" si="8"/>
        <v>1.991150442477873E-2</v>
      </c>
      <c r="AC100">
        <v>164.2</v>
      </c>
      <c r="AD100">
        <v>170.3</v>
      </c>
      <c r="AE100">
        <v>175</v>
      </c>
      <c r="AF100">
        <v>181</v>
      </c>
      <c r="AG100">
        <v>174.1</v>
      </c>
      <c r="AH100">
        <v>177.2</v>
      </c>
      <c r="AI100" t="str">
        <f t="shared" si="9"/>
        <v>Yes</v>
      </c>
    </row>
    <row r="101" spans="1:35" x14ac:dyDescent="0.25">
      <c r="A101" t="s">
        <v>30</v>
      </c>
      <c r="B101">
        <v>2013</v>
      </c>
      <c r="C101">
        <v>4</v>
      </c>
      <c r="D101" s="13">
        <f t="shared" si="5"/>
        <v>41365</v>
      </c>
      <c r="E101">
        <v>110.2</v>
      </c>
      <c r="F101">
        <v>109.5</v>
      </c>
      <c r="G101">
        <v>106.9</v>
      </c>
      <c r="H101">
        <v>106.3</v>
      </c>
      <c r="I101">
        <v>105.7</v>
      </c>
      <c r="J101">
        <v>108.3</v>
      </c>
      <c r="K101">
        <v>103.4</v>
      </c>
      <c r="L101">
        <v>105.7</v>
      </c>
      <c r="M101">
        <v>104.2</v>
      </c>
      <c r="N101">
        <v>103.2</v>
      </c>
      <c r="O101">
        <v>106.5</v>
      </c>
      <c r="P101">
        <v>108.8</v>
      </c>
      <c r="Q101">
        <v>107.1</v>
      </c>
      <c r="R101" s="12">
        <f t="shared" si="6"/>
        <v>-0.39491525423728818</v>
      </c>
      <c r="S101">
        <v>107.1</v>
      </c>
      <c r="T101">
        <v>108.1</v>
      </c>
      <c r="U101">
        <v>107.4</v>
      </c>
      <c r="V101">
        <v>108</v>
      </c>
      <c r="W101" t="s">
        <v>31</v>
      </c>
      <c r="X101">
        <v>106.5</v>
      </c>
      <c r="Y101" s="12">
        <f t="shared" si="7"/>
        <v>-0.4145134689389775</v>
      </c>
      <c r="Z101">
        <v>106.1</v>
      </c>
      <c r="AA101">
        <v>105.1</v>
      </c>
      <c r="AB101" s="12">
        <f t="shared" si="8"/>
        <v>-0.43004338394793928</v>
      </c>
      <c r="AC101">
        <v>104.4</v>
      </c>
      <c r="AD101">
        <v>104.5</v>
      </c>
      <c r="AE101">
        <v>104.8</v>
      </c>
      <c r="AF101">
        <v>102.7</v>
      </c>
      <c r="AG101">
        <v>104.6</v>
      </c>
      <c r="AH101">
        <v>106.4</v>
      </c>
      <c r="AI101" t="str">
        <f t="shared" si="9"/>
        <v>No</v>
      </c>
    </row>
    <row r="102" spans="1:35" x14ac:dyDescent="0.25">
      <c r="A102" t="s">
        <v>32</v>
      </c>
      <c r="B102">
        <v>2013</v>
      </c>
      <c r="C102">
        <v>4</v>
      </c>
      <c r="D102" s="13">
        <f t="shared" si="5"/>
        <v>41365</v>
      </c>
      <c r="E102">
        <v>114.6</v>
      </c>
      <c r="F102">
        <v>113.4</v>
      </c>
      <c r="G102">
        <v>106</v>
      </c>
      <c r="H102">
        <v>104.7</v>
      </c>
      <c r="I102">
        <v>102.1</v>
      </c>
      <c r="J102">
        <v>109.5</v>
      </c>
      <c r="K102">
        <v>109.7</v>
      </c>
      <c r="L102">
        <v>104.6</v>
      </c>
      <c r="M102">
        <v>102</v>
      </c>
      <c r="N102">
        <v>103.5</v>
      </c>
      <c r="O102">
        <v>108.2</v>
      </c>
      <c r="P102">
        <v>110.6</v>
      </c>
      <c r="Q102">
        <v>108.8</v>
      </c>
      <c r="R102" s="12">
        <f t="shared" si="6"/>
        <v>1.58730158730159E-2</v>
      </c>
      <c r="S102">
        <v>108.5</v>
      </c>
      <c r="T102">
        <v>107.9</v>
      </c>
      <c r="U102">
        <v>106.4</v>
      </c>
      <c r="V102">
        <v>107.7</v>
      </c>
      <c r="W102">
        <v>100.5</v>
      </c>
      <c r="X102">
        <v>106.4</v>
      </c>
      <c r="Y102" s="12">
        <f t="shared" si="7"/>
        <v>-9.3896713615018138E-4</v>
      </c>
      <c r="Z102">
        <v>106.5</v>
      </c>
      <c r="AA102">
        <v>105.7</v>
      </c>
      <c r="AB102" s="12">
        <f t="shared" si="8"/>
        <v>5.7088487155091206E-3</v>
      </c>
      <c r="AC102">
        <v>105</v>
      </c>
      <c r="AD102">
        <v>104</v>
      </c>
      <c r="AE102">
        <v>105.2</v>
      </c>
      <c r="AF102">
        <v>103.2</v>
      </c>
      <c r="AG102">
        <v>105.1</v>
      </c>
      <c r="AH102">
        <v>105.7</v>
      </c>
      <c r="AI102" t="str">
        <f t="shared" si="9"/>
        <v>No</v>
      </c>
    </row>
    <row r="103" spans="1:35" x14ac:dyDescent="0.25">
      <c r="A103" t="s">
        <v>33</v>
      </c>
      <c r="B103">
        <v>2013</v>
      </c>
      <c r="C103">
        <v>4</v>
      </c>
      <c r="D103" s="13">
        <f t="shared" si="5"/>
        <v>41365</v>
      </c>
      <c r="E103">
        <v>111.6</v>
      </c>
      <c r="F103">
        <v>110.9</v>
      </c>
      <c r="G103">
        <v>106.6</v>
      </c>
      <c r="H103">
        <v>105.7</v>
      </c>
      <c r="I103">
        <v>104.4</v>
      </c>
      <c r="J103">
        <v>108.9</v>
      </c>
      <c r="K103">
        <v>105.5</v>
      </c>
      <c r="L103">
        <v>105.3</v>
      </c>
      <c r="M103">
        <v>103.5</v>
      </c>
      <c r="N103">
        <v>103.3</v>
      </c>
      <c r="O103">
        <v>107.2</v>
      </c>
      <c r="P103">
        <v>109.6</v>
      </c>
      <c r="Q103">
        <v>107.7</v>
      </c>
      <c r="R103" s="12">
        <f t="shared" si="6"/>
        <v>-1.0110294117647007E-2</v>
      </c>
      <c r="S103">
        <v>107.5</v>
      </c>
      <c r="T103">
        <v>108</v>
      </c>
      <c r="U103">
        <v>107</v>
      </c>
      <c r="V103">
        <v>107.9</v>
      </c>
      <c r="W103">
        <v>100.5</v>
      </c>
      <c r="X103">
        <v>106.5</v>
      </c>
      <c r="Y103" s="12">
        <f t="shared" si="7"/>
        <v>9.3984962406009687E-4</v>
      </c>
      <c r="Z103">
        <v>106.3</v>
      </c>
      <c r="AA103">
        <v>105.3</v>
      </c>
      <c r="AB103" s="12">
        <f t="shared" si="8"/>
        <v>-3.7842951750237056E-3</v>
      </c>
      <c r="AC103">
        <v>104.7</v>
      </c>
      <c r="AD103">
        <v>104.2</v>
      </c>
      <c r="AE103">
        <v>105</v>
      </c>
      <c r="AF103">
        <v>102.9</v>
      </c>
      <c r="AG103">
        <v>104.8</v>
      </c>
      <c r="AH103">
        <v>106.1</v>
      </c>
      <c r="AI103" t="str">
        <f t="shared" si="9"/>
        <v>No</v>
      </c>
    </row>
    <row r="104" spans="1:35" x14ac:dyDescent="0.25">
      <c r="A104" t="s">
        <v>30</v>
      </c>
      <c r="B104">
        <v>2014</v>
      </c>
      <c r="C104">
        <v>4</v>
      </c>
      <c r="D104" s="13">
        <f t="shared" si="5"/>
        <v>41730</v>
      </c>
      <c r="E104">
        <v>120.2</v>
      </c>
      <c r="F104">
        <v>118.9</v>
      </c>
      <c r="G104">
        <v>118.1</v>
      </c>
      <c r="H104">
        <v>117</v>
      </c>
      <c r="I104">
        <v>109.7</v>
      </c>
      <c r="J104">
        <v>125.5</v>
      </c>
      <c r="K104">
        <v>120.5</v>
      </c>
      <c r="L104">
        <v>111</v>
      </c>
      <c r="M104">
        <v>102.6</v>
      </c>
      <c r="N104">
        <v>111.2</v>
      </c>
      <c r="O104">
        <v>113.5</v>
      </c>
      <c r="P104">
        <v>118.7</v>
      </c>
      <c r="Q104">
        <v>117.2</v>
      </c>
      <c r="R104" s="12">
        <f t="shared" si="6"/>
        <v>8.8207985143918283E-2</v>
      </c>
      <c r="S104">
        <v>115.4</v>
      </c>
      <c r="T104">
        <v>118.1</v>
      </c>
      <c r="U104">
        <v>116.1</v>
      </c>
      <c r="V104">
        <v>117.8</v>
      </c>
      <c r="W104" t="s">
        <v>31</v>
      </c>
      <c r="X104">
        <v>113.4</v>
      </c>
      <c r="Y104" s="12">
        <f t="shared" si="7"/>
        <v>6.478873239436625E-2</v>
      </c>
      <c r="Z104">
        <v>113.7</v>
      </c>
      <c r="AA104">
        <v>111.8</v>
      </c>
      <c r="AB104" s="12">
        <f t="shared" si="8"/>
        <v>6.1728395061728399E-2</v>
      </c>
      <c r="AC104">
        <v>111.2</v>
      </c>
      <c r="AD104">
        <v>110.5</v>
      </c>
      <c r="AE104">
        <v>113</v>
      </c>
      <c r="AF104">
        <v>108.9</v>
      </c>
      <c r="AG104">
        <v>111.5</v>
      </c>
      <c r="AH104">
        <v>115.4</v>
      </c>
      <c r="AI104" t="str">
        <f t="shared" si="9"/>
        <v>No</v>
      </c>
    </row>
    <row r="105" spans="1:35" x14ac:dyDescent="0.25">
      <c r="A105" t="s">
        <v>32</v>
      </c>
      <c r="B105">
        <v>2014</v>
      </c>
      <c r="C105">
        <v>4</v>
      </c>
      <c r="D105" s="13">
        <f t="shared" si="5"/>
        <v>41730</v>
      </c>
      <c r="E105">
        <v>122.5</v>
      </c>
      <c r="F105">
        <v>121.7</v>
      </c>
      <c r="G105">
        <v>113.3</v>
      </c>
      <c r="H105">
        <v>117</v>
      </c>
      <c r="I105">
        <v>103.1</v>
      </c>
      <c r="J105">
        <v>126.7</v>
      </c>
      <c r="K105">
        <v>121.2</v>
      </c>
      <c r="L105">
        <v>111</v>
      </c>
      <c r="M105">
        <v>100.3</v>
      </c>
      <c r="N105">
        <v>115.3</v>
      </c>
      <c r="O105">
        <v>112.7</v>
      </c>
      <c r="P105">
        <v>121</v>
      </c>
      <c r="Q105">
        <v>118.2</v>
      </c>
      <c r="R105" s="12">
        <f t="shared" si="6"/>
        <v>8.5324232081911266E-3</v>
      </c>
      <c r="S105">
        <v>117.6</v>
      </c>
      <c r="T105">
        <v>116.3</v>
      </c>
      <c r="U105">
        <v>112.5</v>
      </c>
      <c r="V105">
        <v>115.7</v>
      </c>
      <c r="W105">
        <v>113.9</v>
      </c>
      <c r="X105">
        <v>110.9</v>
      </c>
      <c r="Y105" s="12">
        <f t="shared" si="7"/>
        <v>-2.2045855379188711E-2</v>
      </c>
      <c r="Z105">
        <v>113.4</v>
      </c>
      <c r="AA105">
        <v>111</v>
      </c>
      <c r="AB105" s="12">
        <f t="shared" si="8"/>
        <v>-7.1556350626117817E-3</v>
      </c>
      <c r="AC105">
        <v>111.2</v>
      </c>
      <c r="AD105">
        <v>111.2</v>
      </c>
      <c r="AE105">
        <v>112.5</v>
      </c>
      <c r="AF105">
        <v>109.1</v>
      </c>
      <c r="AG105">
        <v>111.4</v>
      </c>
      <c r="AH105">
        <v>114.7</v>
      </c>
      <c r="AI105" t="str">
        <f t="shared" si="9"/>
        <v>No</v>
      </c>
    </row>
    <row r="106" spans="1:35" x14ac:dyDescent="0.25">
      <c r="A106" t="s">
        <v>33</v>
      </c>
      <c r="B106">
        <v>2014</v>
      </c>
      <c r="C106">
        <v>4</v>
      </c>
      <c r="D106" s="13">
        <f t="shared" si="5"/>
        <v>41730</v>
      </c>
      <c r="E106">
        <v>120.9</v>
      </c>
      <c r="F106">
        <v>119.9</v>
      </c>
      <c r="G106">
        <v>116.2</v>
      </c>
      <c r="H106">
        <v>117</v>
      </c>
      <c r="I106">
        <v>107.3</v>
      </c>
      <c r="J106">
        <v>126.1</v>
      </c>
      <c r="K106">
        <v>120.7</v>
      </c>
      <c r="L106">
        <v>111</v>
      </c>
      <c r="M106">
        <v>101.8</v>
      </c>
      <c r="N106">
        <v>112.6</v>
      </c>
      <c r="O106">
        <v>113.2</v>
      </c>
      <c r="P106">
        <v>119.8</v>
      </c>
      <c r="Q106">
        <v>117.6</v>
      </c>
      <c r="R106" s="12">
        <f t="shared" si="6"/>
        <v>-5.076142131979767E-3</v>
      </c>
      <c r="S106">
        <v>116</v>
      </c>
      <c r="T106">
        <v>117.4</v>
      </c>
      <c r="U106">
        <v>114.6</v>
      </c>
      <c r="V106">
        <v>117</v>
      </c>
      <c r="W106">
        <v>113.9</v>
      </c>
      <c r="X106">
        <v>112.5</v>
      </c>
      <c r="Y106" s="12">
        <f t="shared" si="7"/>
        <v>1.4427412082957567E-2</v>
      </c>
      <c r="Z106">
        <v>113.6</v>
      </c>
      <c r="AA106">
        <v>111.5</v>
      </c>
      <c r="AB106" s="12">
        <f t="shared" si="8"/>
        <v>4.5045045045045045E-3</v>
      </c>
      <c r="AC106">
        <v>111.2</v>
      </c>
      <c r="AD106">
        <v>110.9</v>
      </c>
      <c r="AE106">
        <v>112.7</v>
      </c>
      <c r="AF106">
        <v>109</v>
      </c>
      <c r="AG106">
        <v>111.5</v>
      </c>
      <c r="AH106">
        <v>115.1</v>
      </c>
      <c r="AI106" t="str">
        <f t="shared" si="9"/>
        <v>No</v>
      </c>
    </row>
    <row r="107" spans="1:35" x14ac:dyDescent="0.25">
      <c r="A107" t="s">
        <v>30</v>
      </c>
      <c r="B107">
        <v>2015</v>
      </c>
      <c r="C107">
        <v>4</v>
      </c>
      <c r="D107" s="13">
        <f t="shared" si="5"/>
        <v>42095</v>
      </c>
      <c r="E107">
        <v>123.3</v>
      </c>
      <c r="F107">
        <v>125.5</v>
      </c>
      <c r="G107">
        <v>117.2</v>
      </c>
      <c r="H107">
        <v>126.8</v>
      </c>
      <c r="I107">
        <v>111.9</v>
      </c>
      <c r="J107">
        <v>134.19999999999999</v>
      </c>
      <c r="K107">
        <v>127.5</v>
      </c>
      <c r="L107">
        <v>121.5</v>
      </c>
      <c r="M107">
        <v>97.8</v>
      </c>
      <c r="N107">
        <v>119.8</v>
      </c>
      <c r="O107">
        <v>119.4</v>
      </c>
      <c r="P107">
        <v>128.69999999999999</v>
      </c>
      <c r="Q107">
        <v>123.6</v>
      </c>
      <c r="R107" s="12">
        <f t="shared" si="6"/>
        <v>5.1020408163265307E-2</v>
      </c>
      <c r="S107">
        <v>125.7</v>
      </c>
      <c r="T107">
        <v>126.4</v>
      </c>
      <c r="U107">
        <v>123.3</v>
      </c>
      <c r="V107">
        <v>126</v>
      </c>
      <c r="W107" t="s">
        <v>31</v>
      </c>
      <c r="X107">
        <v>121.2</v>
      </c>
      <c r="Y107" s="12">
        <f t="shared" si="7"/>
        <v>7.7333333333333365E-2</v>
      </c>
      <c r="Z107">
        <v>120.9</v>
      </c>
      <c r="AA107">
        <v>118.6</v>
      </c>
      <c r="AB107" s="12">
        <f t="shared" si="8"/>
        <v>6.3677130044843003E-2</v>
      </c>
      <c r="AC107">
        <v>111.9</v>
      </c>
      <c r="AD107">
        <v>116.2</v>
      </c>
      <c r="AE107">
        <v>119.9</v>
      </c>
      <c r="AF107">
        <v>111.6</v>
      </c>
      <c r="AG107">
        <v>116</v>
      </c>
      <c r="AH107">
        <v>121.5</v>
      </c>
      <c r="AI107" t="str">
        <f t="shared" si="9"/>
        <v>No</v>
      </c>
    </row>
    <row r="108" spans="1:35" x14ac:dyDescent="0.25">
      <c r="A108" t="s">
        <v>32</v>
      </c>
      <c r="B108">
        <v>2015</v>
      </c>
      <c r="C108">
        <v>4</v>
      </c>
      <c r="D108" s="13">
        <f t="shared" si="5"/>
        <v>42095</v>
      </c>
      <c r="E108">
        <v>123.8</v>
      </c>
      <c r="F108">
        <v>128.19999999999999</v>
      </c>
      <c r="G108">
        <v>110</v>
      </c>
      <c r="H108">
        <v>126.3</v>
      </c>
      <c r="I108">
        <v>104.5</v>
      </c>
      <c r="J108">
        <v>130.6</v>
      </c>
      <c r="K108">
        <v>130.80000000000001</v>
      </c>
      <c r="L108">
        <v>131.30000000000001</v>
      </c>
      <c r="M108">
        <v>91.6</v>
      </c>
      <c r="N108">
        <v>127.7</v>
      </c>
      <c r="O108">
        <v>117.2</v>
      </c>
      <c r="P108">
        <v>129.5</v>
      </c>
      <c r="Q108">
        <v>124.6</v>
      </c>
      <c r="R108" s="12">
        <f t="shared" si="6"/>
        <v>8.0906148867313926E-3</v>
      </c>
      <c r="S108">
        <v>130.1</v>
      </c>
      <c r="T108">
        <v>122.1</v>
      </c>
      <c r="U108">
        <v>117.2</v>
      </c>
      <c r="V108">
        <v>121.3</v>
      </c>
      <c r="W108">
        <v>119.2</v>
      </c>
      <c r="X108">
        <v>114.7</v>
      </c>
      <c r="Y108" s="12">
        <f t="shared" si="7"/>
        <v>-5.3630363036303627E-2</v>
      </c>
      <c r="Z108">
        <v>118.4</v>
      </c>
      <c r="AA108">
        <v>114.6</v>
      </c>
      <c r="AB108" s="12">
        <f t="shared" si="8"/>
        <v>-3.3726812816188868E-2</v>
      </c>
      <c r="AC108">
        <v>108.4</v>
      </c>
      <c r="AD108">
        <v>115.6</v>
      </c>
      <c r="AE108">
        <v>121.7</v>
      </c>
      <c r="AF108">
        <v>111.8</v>
      </c>
      <c r="AG108">
        <v>114.2</v>
      </c>
      <c r="AH108">
        <v>119.7</v>
      </c>
      <c r="AI108" t="str">
        <f t="shared" si="9"/>
        <v>No</v>
      </c>
    </row>
    <row r="109" spans="1:35" x14ac:dyDescent="0.25">
      <c r="A109" t="s">
        <v>33</v>
      </c>
      <c r="B109">
        <v>2015</v>
      </c>
      <c r="C109">
        <v>4</v>
      </c>
      <c r="D109" s="13">
        <f t="shared" si="5"/>
        <v>42095</v>
      </c>
      <c r="E109">
        <v>123.5</v>
      </c>
      <c r="F109">
        <v>126.4</v>
      </c>
      <c r="G109">
        <v>114.4</v>
      </c>
      <c r="H109">
        <v>126.6</v>
      </c>
      <c r="I109">
        <v>109.2</v>
      </c>
      <c r="J109">
        <v>132.5</v>
      </c>
      <c r="K109">
        <v>128.6</v>
      </c>
      <c r="L109">
        <v>124.8</v>
      </c>
      <c r="M109">
        <v>95.7</v>
      </c>
      <c r="N109">
        <v>122.4</v>
      </c>
      <c r="O109">
        <v>118.5</v>
      </c>
      <c r="P109">
        <v>129.1</v>
      </c>
      <c r="Q109">
        <v>124</v>
      </c>
      <c r="R109" s="12">
        <f t="shared" si="6"/>
        <v>-4.8154093097912869E-3</v>
      </c>
      <c r="S109">
        <v>126.9</v>
      </c>
      <c r="T109">
        <v>124.7</v>
      </c>
      <c r="U109">
        <v>120.8</v>
      </c>
      <c r="V109">
        <v>124.1</v>
      </c>
      <c r="W109">
        <v>119.2</v>
      </c>
      <c r="X109">
        <v>118.7</v>
      </c>
      <c r="Y109" s="12">
        <f t="shared" si="7"/>
        <v>3.4873583260680033E-2</v>
      </c>
      <c r="Z109">
        <v>119.7</v>
      </c>
      <c r="AA109">
        <v>117.1</v>
      </c>
      <c r="AB109" s="12">
        <f t="shared" si="8"/>
        <v>2.181500872600349E-2</v>
      </c>
      <c r="AC109">
        <v>110.1</v>
      </c>
      <c r="AD109">
        <v>115.9</v>
      </c>
      <c r="AE109">
        <v>121</v>
      </c>
      <c r="AF109">
        <v>111.7</v>
      </c>
      <c r="AG109">
        <v>115.1</v>
      </c>
      <c r="AH109">
        <v>120.7</v>
      </c>
      <c r="AI109" t="str">
        <f t="shared" si="9"/>
        <v>No</v>
      </c>
    </row>
    <row r="110" spans="1:35" x14ac:dyDescent="0.25">
      <c r="A110" t="s">
        <v>30</v>
      </c>
      <c r="B110">
        <v>2016</v>
      </c>
      <c r="C110">
        <v>4</v>
      </c>
      <c r="D110" s="13">
        <f t="shared" si="5"/>
        <v>42461</v>
      </c>
      <c r="E110">
        <v>127.4</v>
      </c>
      <c r="F110">
        <v>135.4</v>
      </c>
      <c r="G110">
        <v>123.4</v>
      </c>
      <c r="H110">
        <v>131.30000000000001</v>
      </c>
      <c r="I110">
        <v>118.2</v>
      </c>
      <c r="J110">
        <v>138.1</v>
      </c>
      <c r="K110">
        <v>134.1</v>
      </c>
      <c r="L110">
        <v>162.69999999999999</v>
      </c>
      <c r="M110">
        <v>105</v>
      </c>
      <c r="N110">
        <v>131.4</v>
      </c>
      <c r="O110">
        <v>125.4</v>
      </c>
      <c r="P110">
        <v>137.4</v>
      </c>
      <c r="Q110">
        <v>131.80000000000001</v>
      </c>
      <c r="R110" s="12">
        <f t="shared" si="6"/>
        <v>6.2903225806451704E-2</v>
      </c>
      <c r="S110">
        <v>135.5</v>
      </c>
      <c r="T110">
        <v>135</v>
      </c>
      <c r="U110">
        <v>130.6</v>
      </c>
      <c r="V110">
        <v>134.4</v>
      </c>
      <c r="W110" t="s">
        <v>31</v>
      </c>
      <c r="X110">
        <v>127</v>
      </c>
      <c r="Y110" s="12">
        <f t="shared" si="7"/>
        <v>6.9924178601516396E-2</v>
      </c>
      <c r="Z110">
        <v>128</v>
      </c>
      <c r="AA110">
        <v>125.2</v>
      </c>
      <c r="AB110" s="12">
        <f t="shared" si="8"/>
        <v>6.9171648163962499E-2</v>
      </c>
      <c r="AC110">
        <v>114.4</v>
      </c>
      <c r="AD110">
        <v>123.2</v>
      </c>
      <c r="AE110">
        <v>127.9</v>
      </c>
      <c r="AF110">
        <v>118.4</v>
      </c>
      <c r="AG110">
        <v>121.7</v>
      </c>
      <c r="AH110">
        <v>129</v>
      </c>
      <c r="AI110" t="str">
        <f t="shared" si="9"/>
        <v>No</v>
      </c>
    </row>
    <row r="111" spans="1:35" x14ac:dyDescent="0.25">
      <c r="A111" t="s">
        <v>32</v>
      </c>
      <c r="B111">
        <v>2016</v>
      </c>
      <c r="C111">
        <v>4</v>
      </c>
      <c r="D111" s="13">
        <f t="shared" si="5"/>
        <v>42461</v>
      </c>
      <c r="E111">
        <v>124.9</v>
      </c>
      <c r="F111">
        <v>139.30000000000001</v>
      </c>
      <c r="G111">
        <v>119.9</v>
      </c>
      <c r="H111">
        <v>130.19999999999999</v>
      </c>
      <c r="I111">
        <v>108.9</v>
      </c>
      <c r="J111">
        <v>131.1</v>
      </c>
      <c r="K111">
        <v>136.80000000000001</v>
      </c>
      <c r="L111">
        <v>176.9</v>
      </c>
      <c r="M111">
        <v>109.1</v>
      </c>
      <c r="N111">
        <v>140.4</v>
      </c>
      <c r="O111">
        <v>121.1</v>
      </c>
      <c r="P111">
        <v>135.9</v>
      </c>
      <c r="Q111">
        <v>131.80000000000001</v>
      </c>
      <c r="R111" s="12">
        <f t="shared" si="6"/>
        <v>0</v>
      </c>
      <c r="S111">
        <v>141.5</v>
      </c>
      <c r="T111">
        <v>126.8</v>
      </c>
      <c r="U111">
        <v>120.5</v>
      </c>
      <c r="V111">
        <v>125.8</v>
      </c>
      <c r="W111">
        <v>125.6</v>
      </c>
      <c r="X111">
        <v>114.6</v>
      </c>
      <c r="Y111" s="12">
        <f t="shared" si="7"/>
        <v>-9.7637795275590591E-2</v>
      </c>
      <c r="Z111">
        <v>122.8</v>
      </c>
      <c r="AA111">
        <v>120</v>
      </c>
      <c r="AB111" s="12">
        <f t="shared" si="8"/>
        <v>-4.1533546325878613E-2</v>
      </c>
      <c r="AC111">
        <v>110</v>
      </c>
      <c r="AD111">
        <v>119.5</v>
      </c>
      <c r="AE111">
        <v>127.6</v>
      </c>
      <c r="AF111">
        <v>117.6</v>
      </c>
      <c r="AG111">
        <v>118.2</v>
      </c>
      <c r="AH111">
        <v>125.3</v>
      </c>
      <c r="AI111" t="str">
        <f t="shared" si="9"/>
        <v>No</v>
      </c>
    </row>
    <row r="112" spans="1:35" x14ac:dyDescent="0.25">
      <c r="A112" t="s">
        <v>33</v>
      </c>
      <c r="B112">
        <v>2016</v>
      </c>
      <c r="C112">
        <v>4</v>
      </c>
      <c r="D112" s="13">
        <f t="shared" si="5"/>
        <v>42461</v>
      </c>
      <c r="E112">
        <v>126.6</v>
      </c>
      <c r="F112">
        <v>136.80000000000001</v>
      </c>
      <c r="G112">
        <v>122</v>
      </c>
      <c r="H112">
        <v>130.9</v>
      </c>
      <c r="I112">
        <v>114.8</v>
      </c>
      <c r="J112">
        <v>134.80000000000001</v>
      </c>
      <c r="K112">
        <v>135</v>
      </c>
      <c r="L112">
        <v>167.5</v>
      </c>
      <c r="M112">
        <v>106.4</v>
      </c>
      <c r="N112">
        <v>134.4</v>
      </c>
      <c r="O112">
        <v>123.6</v>
      </c>
      <c r="P112">
        <v>136.69999999999999</v>
      </c>
      <c r="Q112">
        <v>131.80000000000001</v>
      </c>
      <c r="R112" s="12">
        <f t="shared" si="6"/>
        <v>0</v>
      </c>
      <c r="S112">
        <v>137.1</v>
      </c>
      <c r="T112">
        <v>131.80000000000001</v>
      </c>
      <c r="U112">
        <v>126.4</v>
      </c>
      <c r="V112">
        <v>131</v>
      </c>
      <c r="W112">
        <v>125.6</v>
      </c>
      <c r="X112">
        <v>122.3</v>
      </c>
      <c r="Y112" s="12">
        <f t="shared" si="7"/>
        <v>6.7190226876090775E-2</v>
      </c>
      <c r="Z112">
        <v>125.5</v>
      </c>
      <c r="AA112">
        <v>123.2</v>
      </c>
      <c r="AB112" s="12">
        <f t="shared" si="8"/>
        <v>2.6666666666666689E-2</v>
      </c>
      <c r="AC112">
        <v>112.1</v>
      </c>
      <c r="AD112">
        <v>121.1</v>
      </c>
      <c r="AE112">
        <v>127.7</v>
      </c>
      <c r="AF112">
        <v>118.1</v>
      </c>
      <c r="AG112">
        <v>120</v>
      </c>
      <c r="AH112">
        <v>127.3</v>
      </c>
      <c r="AI112" t="str">
        <f t="shared" si="9"/>
        <v>No</v>
      </c>
    </row>
    <row r="113" spans="1:35" x14ac:dyDescent="0.25">
      <c r="A113" t="s">
        <v>30</v>
      </c>
      <c r="B113">
        <v>2017</v>
      </c>
      <c r="C113">
        <v>4</v>
      </c>
      <c r="D113" s="13">
        <f t="shared" si="5"/>
        <v>42826</v>
      </c>
      <c r="E113">
        <v>133.19999999999999</v>
      </c>
      <c r="F113">
        <v>138.69999999999999</v>
      </c>
      <c r="G113">
        <v>127.1</v>
      </c>
      <c r="H113">
        <v>137.69999999999999</v>
      </c>
      <c r="I113">
        <v>121.3</v>
      </c>
      <c r="J113">
        <v>141.80000000000001</v>
      </c>
      <c r="K113">
        <v>121.5</v>
      </c>
      <c r="L113">
        <v>144.5</v>
      </c>
      <c r="M113">
        <v>117.4</v>
      </c>
      <c r="N113">
        <v>134.1</v>
      </c>
      <c r="O113">
        <v>130</v>
      </c>
      <c r="P113">
        <v>145.5</v>
      </c>
      <c r="Q113">
        <v>133.5</v>
      </c>
      <c r="R113" s="12">
        <f t="shared" si="6"/>
        <v>1.2898330804248775E-2</v>
      </c>
      <c r="S113">
        <v>144.4</v>
      </c>
      <c r="T113">
        <v>142.4</v>
      </c>
      <c r="U113">
        <v>136.80000000000001</v>
      </c>
      <c r="V113">
        <v>141.6</v>
      </c>
      <c r="W113" t="s">
        <v>31</v>
      </c>
      <c r="X113">
        <v>135</v>
      </c>
      <c r="Y113" s="12">
        <f t="shared" si="7"/>
        <v>0.1038430089942764</v>
      </c>
      <c r="Z113">
        <v>134.30000000000001</v>
      </c>
      <c r="AA113">
        <v>131</v>
      </c>
      <c r="AB113" s="12">
        <f t="shared" si="8"/>
        <v>6.3311688311688291E-2</v>
      </c>
      <c r="AC113">
        <v>119.2</v>
      </c>
      <c r="AD113">
        <v>128.30000000000001</v>
      </c>
      <c r="AE113">
        <v>135.69999999999999</v>
      </c>
      <c r="AF113">
        <v>123.7</v>
      </c>
      <c r="AG113">
        <v>127.5</v>
      </c>
      <c r="AH113">
        <v>132.9</v>
      </c>
      <c r="AI113" t="str">
        <f t="shared" si="9"/>
        <v>No</v>
      </c>
    </row>
    <row r="114" spans="1:35" x14ac:dyDescent="0.25">
      <c r="A114" t="s">
        <v>32</v>
      </c>
      <c r="B114">
        <v>2017</v>
      </c>
      <c r="C114">
        <v>4</v>
      </c>
      <c r="D114" s="13">
        <f t="shared" si="5"/>
        <v>42826</v>
      </c>
      <c r="E114">
        <v>132.69999999999999</v>
      </c>
      <c r="F114">
        <v>140.6</v>
      </c>
      <c r="G114">
        <v>124.5</v>
      </c>
      <c r="H114">
        <v>136.30000000000001</v>
      </c>
      <c r="I114">
        <v>113.5</v>
      </c>
      <c r="J114">
        <v>137.69999999999999</v>
      </c>
      <c r="K114">
        <v>127.1</v>
      </c>
      <c r="L114">
        <v>133.80000000000001</v>
      </c>
      <c r="M114">
        <v>120.8</v>
      </c>
      <c r="N114">
        <v>141.30000000000001</v>
      </c>
      <c r="O114">
        <v>123.8</v>
      </c>
      <c r="P114">
        <v>142.6</v>
      </c>
      <c r="Q114">
        <v>133.4</v>
      </c>
      <c r="R114" s="12">
        <f t="shared" si="6"/>
        <v>-7.4906367041194244E-4</v>
      </c>
      <c r="S114">
        <v>148</v>
      </c>
      <c r="T114">
        <v>131.19999999999999</v>
      </c>
      <c r="U114">
        <v>123</v>
      </c>
      <c r="V114">
        <v>130</v>
      </c>
      <c r="W114">
        <v>131.69999999999999</v>
      </c>
      <c r="X114">
        <v>121.4</v>
      </c>
      <c r="Y114" s="12">
        <f t="shared" si="7"/>
        <v>-0.1007407407407407</v>
      </c>
      <c r="Z114">
        <v>126</v>
      </c>
      <c r="AA114">
        <v>123.4</v>
      </c>
      <c r="AB114" s="12">
        <f t="shared" si="8"/>
        <v>-5.8015267175572476E-2</v>
      </c>
      <c r="AC114">
        <v>114.3</v>
      </c>
      <c r="AD114">
        <v>122.6</v>
      </c>
      <c r="AE114">
        <v>133.6</v>
      </c>
      <c r="AF114">
        <v>122.2</v>
      </c>
      <c r="AG114">
        <v>122.5</v>
      </c>
      <c r="AH114">
        <v>129.1</v>
      </c>
      <c r="AI114" t="str">
        <f t="shared" si="9"/>
        <v>No</v>
      </c>
    </row>
    <row r="115" spans="1:35" x14ac:dyDescent="0.25">
      <c r="A115" t="s">
        <v>33</v>
      </c>
      <c r="B115">
        <v>2017</v>
      </c>
      <c r="C115">
        <v>4</v>
      </c>
      <c r="D115" s="13">
        <f t="shared" si="5"/>
        <v>42826</v>
      </c>
      <c r="E115">
        <v>133</v>
      </c>
      <c r="F115">
        <v>139.4</v>
      </c>
      <c r="G115">
        <v>126.1</v>
      </c>
      <c r="H115">
        <v>137.19999999999999</v>
      </c>
      <c r="I115">
        <v>118.4</v>
      </c>
      <c r="J115">
        <v>139.9</v>
      </c>
      <c r="K115">
        <v>123.4</v>
      </c>
      <c r="L115">
        <v>140.9</v>
      </c>
      <c r="M115">
        <v>118.5</v>
      </c>
      <c r="N115">
        <v>136.5</v>
      </c>
      <c r="O115">
        <v>127.4</v>
      </c>
      <c r="P115">
        <v>144.19999999999999</v>
      </c>
      <c r="Q115">
        <v>133.5</v>
      </c>
      <c r="R115" s="12">
        <f t="shared" si="6"/>
        <v>7.4962518740625422E-4</v>
      </c>
      <c r="S115">
        <v>145.4</v>
      </c>
      <c r="T115">
        <v>138</v>
      </c>
      <c r="U115">
        <v>131.1</v>
      </c>
      <c r="V115">
        <v>137</v>
      </c>
      <c r="W115">
        <v>131.69999999999999</v>
      </c>
      <c r="X115">
        <v>129.80000000000001</v>
      </c>
      <c r="Y115" s="12">
        <f t="shared" si="7"/>
        <v>6.9192751235584882E-2</v>
      </c>
      <c r="Z115">
        <v>130.4</v>
      </c>
      <c r="AA115">
        <v>128.1</v>
      </c>
      <c r="AB115" s="12">
        <f t="shared" si="8"/>
        <v>3.8087520259319191E-2</v>
      </c>
      <c r="AC115">
        <v>116.6</v>
      </c>
      <c r="AD115">
        <v>125.1</v>
      </c>
      <c r="AE115">
        <v>134.5</v>
      </c>
      <c r="AF115">
        <v>123.1</v>
      </c>
      <c r="AG115">
        <v>125.1</v>
      </c>
      <c r="AH115">
        <v>131.1</v>
      </c>
      <c r="AI115" t="str">
        <f t="shared" si="9"/>
        <v>No</v>
      </c>
    </row>
    <row r="116" spans="1:35" x14ac:dyDescent="0.25">
      <c r="A116" t="s">
        <v>30</v>
      </c>
      <c r="B116">
        <v>2018</v>
      </c>
      <c r="C116">
        <v>4</v>
      </c>
      <c r="D116" s="13">
        <f t="shared" si="5"/>
        <v>43191</v>
      </c>
      <c r="E116">
        <v>137.1</v>
      </c>
      <c r="F116">
        <v>144.5</v>
      </c>
      <c r="G116">
        <v>135.9</v>
      </c>
      <c r="H116">
        <v>142.4</v>
      </c>
      <c r="I116">
        <v>123.5</v>
      </c>
      <c r="J116">
        <v>156.4</v>
      </c>
      <c r="K116">
        <v>135.1</v>
      </c>
      <c r="L116">
        <v>128.4</v>
      </c>
      <c r="M116">
        <v>115.2</v>
      </c>
      <c r="N116">
        <v>137.19999999999999</v>
      </c>
      <c r="O116">
        <v>131.9</v>
      </c>
      <c r="P116">
        <v>153.80000000000001</v>
      </c>
      <c r="Q116">
        <v>138.6</v>
      </c>
      <c r="R116" s="12">
        <f t="shared" si="6"/>
        <v>3.8202247191011195E-2</v>
      </c>
      <c r="S116">
        <v>156.1</v>
      </c>
      <c r="T116">
        <v>150.1</v>
      </c>
      <c r="U116">
        <v>143.30000000000001</v>
      </c>
      <c r="V116">
        <v>149.1</v>
      </c>
      <c r="W116" t="s">
        <v>31</v>
      </c>
      <c r="X116">
        <v>143.80000000000001</v>
      </c>
      <c r="Y116" s="12">
        <f t="shared" si="7"/>
        <v>0.10785824345146378</v>
      </c>
      <c r="Z116">
        <v>140.9</v>
      </c>
      <c r="AA116">
        <v>137.6</v>
      </c>
      <c r="AB116" s="12">
        <f t="shared" si="8"/>
        <v>7.4160811865729898E-2</v>
      </c>
      <c r="AC116">
        <v>125.3</v>
      </c>
      <c r="AD116">
        <v>136</v>
      </c>
      <c r="AE116">
        <v>143.69999999999999</v>
      </c>
      <c r="AF116">
        <v>130.4</v>
      </c>
      <c r="AG116">
        <v>134.19999999999999</v>
      </c>
      <c r="AH116">
        <v>139.1</v>
      </c>
      <c r="AI116" t="str">
        <f t="shared" si="9"/>
        <v>No</v>
      </c>
    </row>
    <row r="117" spans="1:35" x14ac:dyDescent="0.25">
      <c r="A117" t="s">
        <v>32</v>
      </c>
      <c r="B117">
        <v>2018</v>
      </c>
      <c r="C117">
        <v>4</v>
      </c>
      <c r="D117" s="13">
        <f t="shared" si="5"/>
        <v>43191</v>
      </c>
      <c r="E117">
        <v>135</v>
      </c>
      <c r="F117">
        <v>144.30000000000001</v>
      </c>
      <c r="G117">
        <v>130.80000000000001</v>
      </c>
      <c r="H117">
        <v>140.30000000000001</v>
      </c>
      <c r="I117">
        <v>116.6</v>
      </c>
      <c r="J117">
        <v>150.1</v>
      </c>
      <c r="K117">
        <v>127.6</v>
      </c>
      <c r="L117">
        <v>114</v>
      </c>
      <c r="M117">
        <v>110.6</v>
      </c>
      <c r="N117">
        <v>140.19999999999999</v>
      </c>
      <c r="O117">
        <v>126.5</v>
      </c>
      <c r="P117">
        <v>148.30000000000001</v>
      </c>
      <c r="Q117">
        <v>135.69999999999999</v>
      </c>
      <c r="R117" s="12">
        <f t="shared" si="6"/>
        <v>-2.0923520923520966E-2</v>
      </c>
      <c r="S117">
        <v>159.19999999999999</v>
      </c>
      <c r="T117">
        <v>137.80000000000001</v>
      </c>
      <c r="U117">
        <v>127.4</v>
      </c>
      <c r="V117">
        <v>136.19999999999999</v>
      </c>
      <c r="W117">
        <v>142.9</v>
      </c>
      <c r="X117">
        <v>124.6</v>
      </c>
      <c r="Y117" s="12">
        <f t="shared" si="7"/>
        <v>-0.13351877607788606</v>
      </c>
      <c r="Z117">
        <v>131.80000000000001</v>
      </c>
      <c r="AA117">
        <v>131.30000000000001</v>
      </c>
      <c r="AB117" s="12">
        <f t="shared" si="8"/>
        <v>-4.5784883720930113E-2</v>
      </c>
      <c r="AC117">
        <v>118.9</v>
      </c>
      <c r="AD117">
        <v>127.6</v>
      </c>
      <c r="AE117">
        <v>139.69999999999999</v>
      </c>
      <c r="AF117">
        <v>127.6</v>
      </c>
      <c r="AG117">
        <v>128.19999999999999</v>
      </c>
      <c r="AH117">
        <v>134.80000000000001</v>
      </c>
      <c r="AI117" t="str">
        <f t="shared" si="9"/>
        <v>No</v>
      </c>
    </row>
    <row r="118" spans="1:35" x14ac:dyDescent="0.25">
      <c r="A118" t="s">
        <v>33</v>
      </c>
      <c r="B118">
        <v>2018</v>
      </c>
      <c r="C118">
        <v>4</v>
      </c>
      <c r="D118" s="13">
        <f t="shared" si="5"/>
        <v>43191</v>
      </c>
      <c r="E118">
        <v>136.4</v>
      </c>
      <c r="F118">
        <v>144.4</v>
      </c>
      <c r="G118">
        <v>133.9</v>
      </c>
      <c r="H118">
        <v>141.6</v>
      </c>
      <c r="I118">
        <v>121</v>
      </c>
      <c r="J118">
        <v>153.5</v>
      </c>
      <c r="K118">
        <v>132.6</v>
      </c>
      <c r="L118">
        <v>123.5</v>
      </c>
      <c r="M118">
        <v>113.7</v>
      </c>
      <c r="N118">
        <v>138.19999999999999</v>
      </c>
      <c r="O118">
        <v>129.6</v>
      </c>
      <c r="P118">
        <v>151.19999999999999</v>
      </c>
      <c r="Q118">
        <v>137.5</v>
      </c>
      <c r="R118" s="12">
        <f t="shared" si="6"/>
        <v>1.3264554163596252E-2</v>
      </c>
      <c r="S118">
        <v>156.9</v>
      </c>
      <c r="T118">
        <v>145.30000000000001</v>
      </c>
      <c r="U118">
        <v>136.69999999999999</v>
      </c>
      <c r="V118">
        <v>144</v>
      </c>
      <c r="W118">
        <v>142.9</v>
      </c>
      <c r="X118">
        <v>136.5</v>
      </c>
      <c r="Y118" s="12">
        <f t="shared" si="7"/>
        <v>9.5505617977528143E-2</v>
      </c>
      <c r="Z118">
        <v>136.6</v>
      </c>
      <c r="AA118">
        <v>135.19999999999999</v>
      </c>
      <c r="AB118" s="12">
        <f t="shared" si="8"/>
        <v>2.9702970297029528E-2</v>
      </c>
      <c r="AC118">
        <v>121.9</v>
      </c>
      <c r="AD118">
        <v>131.30000000000001</v>
      </c>
      <c r="AE118">
        <v>141.4</v>
      </c>
      <c r="AF118">
        <v>129.19999999999999</v>
      </c>
      <c r="AG118">
        <v>131.30000000000001</v>
      </c>
      <c r="AH118">
        <v>137.1</v>
      </c>
      <c r="AI118" t="str">
        <f t="shared" si="9"/>
        <v>No</v>
      </c>
    </row>
    <row r="119" spans="1:35" x14ac:dyDescent="0.25">
      <c r="A119" t="s">
        <v>30</v>
      </c>
      <c r="B119">
        <v>2020</v>
      </c>
      <c r="C119">
        <v>4</v>
      </c>
      <c r="D119" s="13">
        <f t="shared" si="5"/>
        <v>43922</v>
      </c>
      <c r="E119">
        <v>147.19999999999999</v>
      </c>
      <c r="F119">
        <v>167.2</v>
      </c>
      <c r="G119">
        <v>146.9</v>
      </c>
      <c r="H119">
        <v>155.6</v>
      </c>
      <c r="I119">
        <v>137.1</v>
      </c>
      <c r="J119">
        <v>147.30000000000001</v>
      </c>
      <c r="K119">
        <v>162.69999999999999</v>
      </c>
      <c r="L119">
        <v>150.19999999999999</v>
      </c>
      <c r="M119">
        <v>119.8</v>
      </c>
      <c r="N119">
        <v>158.69999999999999</v>
      </c>
      <c r="O119">
        <v>139.19999999999999</v>
      </c>
      <c r="P119">
        <v>159.30000000000001</v>
      </c>
      <c r="Q119">
        <v>150.1</v>
      </c>
      <c r="R119" s="12">
        <f t="shared" si="6"/>
        <v>9.1636363636363599E-2</v>
      </c>
      <c r="S119">
        <v>169.5</v>
      </c>
      <c r="T119">
        <v>153.1</v>
      </c>
      <c r="U119">
        <v>147.5</v>
      </c>
      <c r="V119">
        <v>152.30000000000001</v>
      </c>
      <c r="W119" t="s">
        <v>31</v>
      </c>
      <c r="X119">
        <v>148.4</v>
      </c>
      <c r="Y119" s="12">
        <f t="shared" si="7"/>
        <v>8.7179487179487217E-2</v>
      </c>
      <c r="Z119">
        <v>151.69999999999999</v>
      </c>
      <c r="AA119">
        <v>154.30000000000001</v>
      </c>
      <c r="AB119" s="12">
        <f t="shared" si="8"/>
        <v>0.14127218934911259</v>
      </c>
      <c r="AC119">
        <v>136</v>
      </c>
      <c r="AD119">
        <v>150.6</v>
      </c>
      <c r="AE119">
        <v>161.6</v>
      </c>
      <c r="AF119">
        <v>143.69999999999999</v>
      </c>
      <c r="AG119">
        <v>148.4</v>
      </c>
      <c r="AH119">
        <v>150.69999999999999</v>
      </c>
      <c r="AI119" t="str">
        <f t="shared" si="9"/>
        <v>No</v>
      </c>
    </row>
    <row r="120" spans="1:35" x14ac:dyDescent="0.25">
      <c r="A120" t="s">
        <v>32</v>
      </c>
      <c r="B120">
        <v>2020</v>
      </c>
      <c r="C120">
        <v>4</v>
      </c>
      <c r="D120" s="13">
        <f t="shared" si="5"/>
        <v>43922</v>
      </c>
      <c r="E120">
        <v>151.80000000000001</v>
      </c>
      <c r="F120">
        <v>167.6</v>
      </c>
      <c r="G120">
        <v>151.9</v>
      </c>
      <c r="H120">
        <v>155.5</v>
      </c>
      <c r="I120">
        <v>131.6</v>
      </c>
      <c r="J120">
        <v>152.9</v>
      </c>
      <c r="K120">
        <v>180</v>
      </c>
      <c r="L120">
        <v>150.80000000000001</v>
      </c>
      <c r="M120">
        <v>121.2</v>
      </c>
      <c r="N120">
        <v>154</v>
      </c>
      <c r="O120">
        <v>133.5</v>
      </c>
      <c r="P120">
        <v>158.9</v>
      </c>
      <c r="Q120">
        <v>153.5</v>
      </c>
      <c r="R120" s="12">
        <f t="shared" si="6"/>
        <v>2.2651565622918094E-2</v>
      </c>
      <c r="S120">
        <v>172</v>
      </c>
      <c r="T120">
        <v>147.30000000000001</v>
      </c>
      <c r="U120">
        <v>133.5</v>
      </c>
      <c r="V120">
        <v>145.19999999999999</v>
      </c>
      <c r="W120">
        <v>155.6</v>
      </c>
      <c r="X120">
        <v>137.1</v>
      </c>
      <c r="Y120" s="12">
        <f t="shared" si="7"/>
        <v>-7.6145552560646979E-2</v>
      </c>
      <c r="Z120">
        <v>140.4</v>
      </c>
      <c r="AA120">
        <v>144.80000000000001</v>
      </c>
      <c r="AB120" s="12">
        <f t="shared" si="8"/>
        <v>-6.1568373298768631E-2</v>
      </c>
      <c r="AC120">
        <v>125.3</v>
      </c>
      <c r="AD120">
        <v>137.6</v>
      </c>
      <c r="AE120">
        <v>152.30000000000001</v>
      </c>
      <c r="AF120">
        <v>143.6</v>
      </c>
      <c r="AG120">
        <v>138.5</v>
      </c>
      <c r="AH120">
        <v>147.69999999999999</v>
      </c>
      <c r="AI120" t="str">
        <f t="shared" si="9"/>
        <v>Yes</v>
      </c>
    </row>
    <row r="121" spans="1:35" x14ac:dyDescent="0.25">
      <c r="A121" t="s">
        <v>33</v>
      </c>
      <c r="B121">
        <v>2020</v>
      </c>
      <c r="C121">
        <v>4</v>
      </c>
      <c r="D121" s="13">
        <f t="shared" si="5"/>
        <v>43922</v>
      </c>
      <c r="E121">
        <v>148.69999999999999</v>
      </c>
      <c r="F121">
        <v>167.3</v>
      </c>
      <c r="G121">
        <v>148.80000000000001</v>
      </c>
      <c r="H121">
        <v>155.6</v>
      </c>
      <c r="I121">
        <v>135.1</v>
      </c>
      <c r="J121">
        <v>149.9</v>
      </c>
      <c r="K121">
        <v>168.6</v>
      </c>
      <c r="L121">
        <v>150.4</v>
      </c>
      <c r="M121">
        <v>120.3</v>
      </c>
      <c r="N121">
        <v>157.1</v>
      </c>
      <c r="O121">
        <v>136.80000000000001</v>
      </c>
      <c r="P121">
        <v>159.1</v>
      </c>
      <c r="Q121">
        <v>151.4</v>
      </c>
      <c r="R121" s="12">
        <f t="shared" si="6"/>
        <v>-1.3680781758957618E-2</v>
      </c>
      <c r="S121">
        <v>170.2</v>
      </c>
      <c r="T121">
        <v>150.80000000000001</v>
      </c>
      <c r="U121">
        <v>141.69999999999999</v>
      </c>
      <c r="V121">
        <v>149.5</v>
      </c>
      <c r="W121">
        <v>155.6</v>
      </c>
      <c r="X121">
        <v>144.1</v>
      </c>
      <c r="Y121" s="12">
        <f t="shared" si="7"/>
        <v>5.1057622173595919E-2</v>
      </c>
      <c r="Z121">
        <v>146.30000000000001</v>
      </c>
      <c r="AA121">
        <v>150.69999999999999</v>
      </c>
      <c r="AB121" s="12">
        <f t="shared" si="8"/>
        <v>4.0745856353591001E-2</v>
      </c>
      <c r="AC121">
        <v>130.4</v>
      </c>
      <c r="AD121">
        <v>143.19999999999999</v>
      </c>
      <c r="AE121">
        <v>156.1</v>
      </c>
      <c r="AF121">
        <v>143.6</v>
      </c>
      <c r="AG121">
        <v>143.6</v>
      </c>
      <c r="AH121">
        <v>149.30000000000001</v>
      </c>
      <c r="AI121" t="str">
        <f t="shared" si="9"/>
        <v>No</v>
      </c>
    </row>
    <row r="122" spans="1:35" x14ac:dyDescent="0.25">
      <c r="A122" t="s">
        <v>30</v>
      </c>
      <c r="B122">
        <v>2021</v>
      </c>
      <c r="C122">
        <v>4</v>
      </c>
      <c r="D122" s="13">
        <f t="shared" si="5"/>
        <v>44287</v>
      </c>
      <c r="E122">
        <v>142.69999999999999</v>
      </c>
      <c r="F122">
        <v>195.5</v>
      </c>
      <c r="G122">
        <v>163.4</v>
      </c>
      <c r="H122">
        <v>155</v>
      </c>
      <c r="I122">
        <v>175.2</v>
      </c>
      <c r="J122">
        <v>160.6</v>
      </c>
      <c r="K122">
        <v>135.1</v>
      </c>
      <c r="L122">
        <v>161.1</v>
      </c>
      <c r="M122">
        <v>112.2</v>
      </c>
      <c r="N122">
        <v>164.4</v>
      </c>
      <c r="O122">
        <v>161.9</v>
      </c>
      <c r="P122">
        <v>166.8</v>
      </c>
      <c r="Q122">
        <v>155.6</v>
      </c>
      <c r="R122" s="12">
        <f t="shared" si="6"/>
        <v>2.7741083223249592E-2</v>
      </c>
      <c r="S122">
        <v>186.8</v>
      </c>
      <c r="T122">
        <v>160.69999999999999</v>
      </c>
      <c r="U122">
        <v>155.1</v>
      </c>
      <c r="V122">
        <v>159.9</v>
      </c>
      <c r="W122" t="s">
        <v>31</v>
      </c>
      <c r="X122">
        <v>156</v>
      </c>
      <c r="Y122" s="12">
        <f t="shared" si="7"/>
        <v>8.258154059680782E-2</v>
      </c>
      <c r="Z122">
        <v>155.5</v>
      </c>
      <c r="AA122">
        <v>165.3</v>
      </c>
      <c r="AB122" s="12">
        <f t="shared" si="8"/>
        <v>9.6881220968812368E-2</v>
      </c>
      <c r="AC122">
        <v>151.69999999999999</v>
      </c>
      <c r="AD122">
        <v>158.6</v>
      </c>
      <c r="AE122">
        <v>164.1</v>
      </c>
      <c r="AF122">
        <v>154.6</v>
      </c>
      <c r="AG122">
        <v>158</v>
      </c>
      <c r="AH122">
        <v>157.6</v>
      </c>
      <c r="AI122" t="str">
        <f t="shared" si="9"/>
        <v>No</v>
      </c>
    </row>
    <row r="123" spans="1:35" x14ac:dyDescent="0.25">
      <c r="A123" t="s">
        <v>32</v>
      </c>
      <c r="B123">
        <v>2021</v>
      </c>
      <c r="C123">
        <v>4</v>
      </c>
      <c r="D123" s="13">
        <f t="shared" si="5"/>
        <v>44287</v>
      </c>
      <c r="E123">
        <v>147.6</v>
      </c>
      <c r="F123">
        <v>202.5</v>
      </c>
      <c r="G123">
        <v>166.4</v>
      </c>
      <c r="H123">
        <v>156</v>
      </c>
      <c r="I123">
        <v>161.4</v>
      </c>
      <c r="J123">
        <v>168.8</v>
      </c>
      <c r="K123">
        <v>161.6</v>
      </c>
      <c r="L123">
        <v>162.80000000000001</v>
      </c>
      <c r="M123">
        <v>114.8</v>
      </c>
      <c r="N123">
        <v>162.80000000000001</v>
      </c>
      <c r="O123">
        <v>151.5</v>
      </c>
      <c r="P123">
        <v>171.4</v>
      </c>
      <c r="Q123">
        <v>162</v>
      </c>
      <c r="R123" s="12">
        <f t="shared" si="6"/>
        <v>4.1131105398457622E-2</v>
      </c>
      <c r="S123">
        <v>194.4</v>
      </c>
      <c r="T123">
        <v>155.9</v>
      </c>
      <c r="U123">
        <v>139.30000000000001</v>
      </c>
      <c r="V123">
        <v>153.4</v>
      </c>
      <c r="W123">
        <v>161.4</v>
      </c>
      <c r="X123">
        <v>154.9</v>
      </c>
      <c r="Y123" s="12">
        <f t="shared" si="7"/>
        <v>-7.051282051282015E-3</v>
      </c>
      <c r="Z123">
        <v>147.6</v>
      </c>
      <c r="AA123">
        <v>157.5</v>
      </c>
      <c r="AB123" s="12">
        <f t="shared" si="8"/>
        <v>-4.7186932849364857E-2</v>
      </c>
      <c r="AC123">
        <v>142.1</v>
      </c>
      <c r="AD123">
        <v>149.1</v>
      </c>
      <c r="AE123">
        <v>157.6</v>
      </c>
      <c r="AF123">
        <v>156.6</v>
      </c>
      <c r="AG123">
        <v>150.5</v>
      </c>
      <c r="AH123">
        <v>158</v>
      </c>
      <c r="AI123" t="str">
        <f t="shared" si="9"/>
        <v>Yes</v>
      </c>
    </row>
    <row r="124" spans="1:35" x14ac:dyDescent="0.25">
      <c r="A124" t="s">
        <v>33</v>
      </c>
      <c r="B124">
        <v>2021</v>
      </c>
      <c r="C124">
        <v>4</v>
      </c>
      <c r="D124" s="13">
        <f t="shared" si="5"/>
        <v>44287</v>
      </c>
      <c r="E124">
        <v>144.30000000000001</v>
      </c>
      <c r="F124">
        <v>198</v>
      </c>
      <c r="G124">
        <v>164.6</v>
      </c>
      <c r="H124">
        <v>155.4</v>
      </c>
      <c r="I124">
        <v>170.1</v>
      </c>
      <c r="J124">
        <v>164.4</v>
      </c>
      <c r="K124">
        <v>144.1</v>
      </c>
      <c r="L124">
        <v>161.69999999999999</v>
      </c>
      <c r="M124">
        <v>113.1</v>
      </c>
      <c r="N124">
        <v>163.9</v>
      </c>
      <c r="O124">
        <v>157.6</v>
      </c>
      <c r="P124">
        <v>168.9</v>
      </c>
      <c r="Q124">
        <v>158</v>
      </c>
      <c r="R124" s="12">
        <f t="shared" si="6"/>
        <v>-2.4691358024691357E-2</v>
      </c>
      <c r="S124">
        <v>188.8</v>
      </c>
      <c r="T124">
        <v>158.80000000000001</v>
      </c>
      <c r="U124">
        <v>148.5</v>
      </c>
      <c r="V124">
        <v>157.30000000000001</v>
      </c>
      <c r="W124">
        <v>161.4</v>
      </c>
      <c r="X124">
        <v>155.6</v>
      </c>
      <c r="Y124" s="12">
        <f t="shared" si="7"/>
        <v>4.5190445448675832E-3</v>
      </c>
      <c r="Z124">
        <v>151.80000000000001</v>
      </c>
      <c r="AA124">
        <v>162.30000000000001</v>
      </c>
      <c r="AB124" s="12">
        <f t="shared" si="8"/>
        <v>3.0476190476190549E-2</v>
      </c>
      <c r="AC124">
        <v>146.6</v>
      </c>
      <c r="AD124">
        <v>153.19999999999999</v>
      </c>
      <c r="AE124">
        <v>160.30000000000001</v>
      </c>
      <c r="AF124">
        <v>155.4</v>
      </c>
      <c r="AG124">
        <v>154.4</v>
      </c>
      <c r="AH124">
        <v>157.80000000000001</v>
      </c>
      <c r="AI124" t="str">
        <f t="shared" si="9"/>
        <v>No</v>
      </c>
    </row>
    <row r="125" spans="1:35" x14ac:dyDescent="0.25">
      <c r="A125" t="s">
        <v>30</v>
      </c>
      <c r="B125">
        <v>2022</v>
      </c>
      <c r="C125">
        <v>4</v>
      </c>
      <c r="D125" s="13">
        <f t="shared" si="5"/>
        <v>44652</v>
      </c>
      <c r="E125">
        <v>151.80000000000001</v>
      </c>
      <c r="F125">
        <v>209.7</v>
      </c>
      <c r="G125">
        <v>164.5</v>
      </c>
      <c r="H125">
        <v>163.80000000000001</v>
      </c>
      <c r="I125">
        <v>207.4</v>
      </c>
      <c r="J125">
        <v>169.7</v>
      </c>
      <c r="K125">
        <v>153.6</v>
      </c>
      <c r="L125">
        <v>165.1</v>
      </c>
      <c r="M125">
        <v>118.2</v>
      </c>
      <c r="N125">
        <v>182.9</v>
      </c>
      <c r="O125">
        <v>172.4</v>
      </c>
      <c r="P125">
        <v>178.9</v>
      </c>
      <c r="Q125">
        <v>168.6</v>
      </c>
      <c r="R125" s="12">
        <f t="shared" si="6"/>
        <v>6.7088607594936678E-2</v>
      </c>
      <c r="S125">
        <v>192.8</v>
      </c>
      <c r="T125">
        <v>177.5</v>
      </c>
      <c r="U125">
        <v>175.1</v>
      </c>
      <c r="V125">
        <v>177.1</v>
      </c>
      <c r="W125" t="s">
        <v>31</v>
      </c>
      <c r="X125">
        <v>173.3</v>
      </c>
      <c r="Y125" s="12">
        <f t="shared" si="7"/>
        <v>0.11375321336760937</v>
      </c>
      <c r="Z125">
        <v>167.7</v>
      </c>
      <c r="AA125">
        <v>177</v>
      </c>
      <c r="AB125" s="12">
        <f t="shared" si="8"/>
        <v>9.0573012939001774E-2</v>
      </c>
      <c r="AC125">
        <v>166.2</v>
      </c>
      <c r="AD125">
        <v>167.2</v>
      </c>
      <c r="AE125">
        <v>170.9</v>
      </c>
      <c r="AF125">
        <v>169</v>
      </c>
      <c r="AG125">
        <v>170.2</v>
      </c>
      <c r="AH125">
        <v>170.8</v>
      </c>
      <c r="AI125" t="str">
        <f t="shared" si="9"/>
        <v>Yes</v>
      </c>
    </row>
    <row r="126" spans="1:35" x14ac:dyDescent="0.25">
      <c r="A126" t="s">
        <v>32</v>
      </c>
      <c r="B126">
        <v>2022</v>
      </c>
      <c r="C126">
        <v>4</v>
      </c>
      <c r="D126" s="13">
        <f t="shared" si="5"/>
        <v>44652</v>
      </c>
      <c r="E126">
        <v>155.4</v>
      </c>
      <c r="F126">
        <v>215.8</v>
      </c>
      <c r="G126">
        <v>164.6</v>
      </c>
      <c r="H126">
        <v>164.2</v>
      </c>
      <c r="I126">
        <v>186</v>
      </c>
      <c r="J126">
        <v>175.9</v>
      </c>
      <c r="K126">
        <v>190.7</v>
      </c>
      <c r="L126">
        <v>164</v>
      </c>
      <c r="M126">
        <v>120.5</v>
      </c>
      <c r="N126">
        <v>178</v>
      </c>
      <c r="O126">
        <v>157.5</v>
      </c>
      <c r="P126">
        <v>183.3</v>
      </c>
      <c r="Q126">
        <v>174.5</v>
      </c>
      <c r="R126" s="12">
        <f t="shared" si="6"/>
        <v>3.4994068801898016E-2</v>
      </c>
      <c r="S126">
        <v>197.1</v>
      </c>
      <c r="T126">
        <v>168.4</v>
      </c>
      <c r="U126">
        <v>154.5</v>
      </c>
      <c r="V126">
        <v>166.3</v>
      </c>
      <c r="W126">
        <v>167</v>
      </c>
      <c r="X126">
        <v>170.5</v>
      </c>
      <c r="Y126" s="12">
        <f t="shared" si="7"/>
        <v>-1.615695326024242E-2</v>
      </c>
      <c r="Z126">
        <v>159.80000000000001</v>
      </c>
      <c r="AA126">
        <v>169</v>
      </c>
      <c r="AB126" s="12">
        <f t="shared" si="8"/>
        <v>-4.519774011299435E-2</v>
      </c>
      <c r="AC126">
        <v>159.30000000000001</v>
      </c>
      <c r="AD126">
        <v>162.19999999999999</v>
      </c>
      <c r="AE126">
        <v>164</v>
      </c>
      <c r="AF126">
        <v>168.4</v>
      </c>
      <c r="AG126">
        <v>163.1</v>
      </c>
      <c r="AH126">
        <v>169.2</v>
      </c>
      <c r="AI126" t="str">
        <f t="shared" si="9"/>
        <v>Yes</v>
      </c>
    </row>
    <row r="127" spans="1:35" x14ac:dyDescent="0.25">
      <c r="A127" t="s">
        <v>33</v>
      </c>
      <c r="B127">
        <v>2022</v>
      </c>
      <c r="C127">
        <v>4</v>
      </c>
      <c r="D127" s="13">
        <f t="shared" si="5"/>
        <v>44652</v>
      </c>
      <c r="E127">
        <v>152.9</v>
      </c>
      <c r="F127">
        <v>211.8</v>
      </c>
      <c r="G127">
        <v>164.5</v>
      </c>
      <c r="H127">
        <v>163.9</v>
      </c>
      <c r="I127">
        <v>199.5</v>
      </c>
      <c r="J127">
        <v>172.6</v>
      </c>
      <c r="K127">
        <v>166.2</v>
      </c>
      <c r="L127">
        <v>164.7</v>
      </c>
      <c r="M127">
        <v>119</v>
      </c>
      <c r="N127">
        <v>181.3</v>
      </c>
      <c r="O127">
        <v>166.2</v>
      </c>
      <c r="P127">
        <v>180.9</v>
      </c>
      <c r="Q127">
        <v>170.8</v>
      </c>
      <c r="R127" s="12">
        <f t="shared" si="6"/>
        <v>-2.1203438395415407E-2</v>
      </c>
      <c r="S127">
        <v>193.9</v>
      </c>
      <c r="T127">
        <v>173.9</v>
      </c>
      <c r="U127">
        <v>166.5</v>
      </c>
      <c r="V127">
        <v>172.8</v>
      </c>
      <c r="W127">
        <v>167</v>
      </c>
      <c r="X127">
        <v>172.2</v>
      </c>
      <c r="Y127" s="12">
        <f t="shared" si="7"/>
        <v>9.9706744868034523E-3</v>
      </c>
      <c r="Z127">
        <v>164</v>
      </c>
      <c r="AA127">
        <v>174</v>
      </c>
      <c r="AB127" s="12">
        <f t="shared" si="8"/>
        <v>2.9585798816568046E-2</v>
      </c>
      <c r="AC127">
        <v>162.6</v>
      </c>
      <c r="AD127">
        <v>164.4</v>
      </c>
      <c r="AE127">
        <v>166.9</v>
      </c>
      <c r="AF127">
        <v>168.8</v>
      </c>
      <c r="AG127">
        <v>166.8</v>
      </c>
      <c r="AH127">
        <v>170.1</v>
      </c>
      <c r="AI127" t="str">
        <f t="shared" si="9"/>
        <v>Yes</v>
      </c>
    </row>
    <row r="128" spans="1:35" x14ac:dyDescent="0.25">
      <c r="A128" t="s">
        <v>30</v>
      </c>
      <c r="B128">
        <v>2023</v>
      </c>
      <c r="C128">
        <v>4</v>
      </c>
      <c r="D128" s="13">
        <f t="shared" si="5"/>
        <v>45017</v>
      </c>
      <c r="E128">
        <v>173.3</v>
      </c>
      <c r="F128">
        <v>206.9</v>
      </c>
      <c r="G128">
        <v>167.9</v>
      </c>
      <c r="H128">
        <v>178.2</v>
      </c>
      <c r="I128">
        <v>178.5</v>
      </c>
      <c r="J128">
        <v>173.7</v>
      </c>
      <c r="K128">
        <v>142.80000000000001</v>
      </c>
      <c r="L128">
        <v>172.8</v>
      </c>
      <c r="M128">
        <v>120.4</v>
      </c>
      <c r="N128">
        <v>215.5</v>
      </c>
      <c r="O128">
        <v>178.2</v>
      </c>
      <c r="P128">
        <v>190.5</v>
      </c>
      <c r="Q128">
        <v>175.5</v>
      </c>
      <c r="R128" s="12">
        <f t="shared" si="6"/>
        <v>2.7517564402810234E-2</v>
      </c>
      <c r="S128">
        <v>199.5</v>
      </c>
      <c r="T128">
        <v>190.7</v>
      </c>
      <c r="U128">
        <v>187.3</v>
      </c>
      <c r="V128">
        <v>190.2</v>
      </c>
      <c r="W128" t="s">
        <v>31</v>
      </c>
      <c r="X128">
        <v>181.5</v>
      </c>
      <c r="Y128" s="12">
        <f t="shared" si="7"/>
        <v>5.4006968641115052E-2</v>
      </c>
      <c r="Z128">
        <v>179.1</v>
      </c>
      <c r="AA128">
        <v>187.2</v>
      </c>
      <c r="AB128" s="12">
        <f t="shared" si="8"/>
        <v>7.5862068965517171E-2</v>
      </c>
      <c r="AC128">
        <v>169.4</v>
      </c>
      <c r="AD128">
        <v>173.2</v>
      </c>
      <c r="AE128">
        <v>179.4</v>
      </c>
      <c r="AF128">
        <v>183.8</v>
      </c>
      <c r="AG128">
        <v>178.9</v>
      </c>
      <c r="AH128">
        <v>178.8</v>
      </c>
      <c r="AI128" t="str">
        <f t="shared" si="9"/>
        <v>No</v>
      </c>
    </row>
    <row r="129" spans="1:35" x14ac:dyDescent="0.25">
      <c r="A129" t="s">
        <v>32</v>
      </c>
      <c r="B129">
        <v>2023</v>
      </c>
      <c r="C129">
        <v>4</v>
      </c>
      <c r="D129" s="13">
        <f t="shared" si="5"/>
        <v>45017</v>
      </c>
      <c r="E129">
        <v>174.8</v>
      </c>
      <c r="F129">
        <v>213.7</v>
      </c>
      <c r="G129">
        <v>172.4</v>
      </c>
      <c r="H129">
        <v>178.8</v>
      </c>
      <c r="I129">
        <v>168.7</v>
      </c>
      <c r="J129">
        <v>179.2</v>
      </c>
      <c r="K129">
        <v>179.9</v>
      </c>
      <c r="L129">
        <v>174.7</v>
      </c>
      <c r="M129">
        <v>123.1</v>
      </c>
      <c r="N129">
        <v>207.8</v>
      </c>
      <c r="O129">
        <v>165.5</v>
      </c>
      <c r="P129">
        <v>197</v>
      </c>
      <c r="Q129">
        <v>182.1</v>
      </c>
      <c r="R129" s="12">
        <f t="shared" si="6"/>
        <v>3.7606837606837577E-2</v>
      </c>
      <c r="S129">
        <v>203.5</v>
      </c>
      <c r="T129">
        <v>181</v>
      </c>
      <c r="U129">
        <v>167.7</v>
      </c>
      <c r="V129">
        <v>178.9</v>
      </c>
      <c r="W129">
        <v>175.2</v>
      </c>
      <c r="X129">
        <v>182.1</v>
      </c>
      <c r="Y129" s="12">
        <f t="shared" si="7"/>
        <v>3.3057851239669108E-3</v>
      </c>
      <c r="Z129">
        <v>169.6</v>
      </c>
      <c r="AA129">
        <v>181.5</v>
      </c>
      <c r="AB129" s="12">
        <f t="shared" si="8"/>
        <v>-3.0448717948717889E-2</v>
      </c>
      <c r="AC129">
        <v>160.1</v>
      </c>
      <c r="AD129">
        <v>168.8</v>
      </c>
      <c r="AE129">
        <v>174.2</v>
      </c>
      <c r="AF129">
        <v>184.4</v>
      </c>
      <c r="AG129">
        <v>170.9</v>
      </c>
      <c r="AH129">
        <v>177.4</v>
      </c>
      <c r="AI129" t="str">
        <f t="shared" si="9"/>
        <v>Yes</v>
      </c>
    </row>
    <row r="130" spans="1:35" x14ac:dyDescent="0.25">
      <c r="A130" t="s">
        <v>33</v>
      </c>
      <c r="B130">
        <v>2023</v>
      </c>
      <c r="C130">
        <v>4</v>
      </c>
      <c r="D130" s="13">
        <f t="shared" si="5"/>
        <v>45017</v>
      </c>
      <c r="E130">
        <v>173.8</v>
      </c>
      <c r="F130">
        <v>209.3</v>
      </c>
      <c r="G130">
        <v>169.6</v>
      </c>
      <c r="H130">
        <v>178.4</v>
      </c>
      <c r="I130">
        <v>174.9</v>
      </c>
      <c r="J130">
        <v>176.3</v>
      </c>
      <c r="K130">
        <v>155.4</v>
      </c>
      <c r="L130">
        <v>173.4</v>
      </c>
      <c r="M130">
        <v>121.3</v>
      </c>
      <c r="N130">
        <v>212.9</v>
      </c>
      <c r="O130">
        <v>172.9</v>
      </c>
      <c r="P130">
        <v>193.5</v>
      </c>
      <c r="Q130">
        <v>177.9</v>
      </c>
      <c r="R130" s="12">
        <f t="shared" si="6"/>
        <v>-2.3064250411861553E-2</v>
      </c>
      <c r="S130">
        <v>200.6</v>
      </c>
      <c r="T130">
        <v>186.9</v>
      </c>
      <c r="U130">
        <v>179.2</v>
      </c>
      <c r="V130">
        <v>185.7</v>
      </c>
      <c r="W130">
        <v>175.2</v>
      </c>
      <c r="X130">
        <v>181.7</v>
      </c>
      <c r="Y130" s="12">
        <f t="shared" si="7"/>
        <v>-2.196595277320185E-3</v>
      </c>
      <c r="Z130">
        <v>174.6</v>
      </c>
      <c r="AA130">
        <v>185</v>
      </c>
      <c r="AB130" s="12">
        <f t="shared" si="8"/>
        <v>1.928374655647383E-2</v>
      </c>
      <c r="AC130">
        <v>164.5</v>
      </c>
      <c r="AD130">
        <v>170.7</v>
      </c>
      <c r="AE130">
        <v>176.4</v>
      </c>
      <c r="AF130">
        <v>184</v>
      </c>
      <c r="AG130">
        <v>175</v>
      </c>
      <c r="AH130">
        <v>178.1</v>
      </c>
      <c r="AI130" t="str">
        <f t="shared" si="9"/>
        <v>Yes</v>
      </c>
    </row>
    <row r="131" spans="1:35" x14ac:dyDescent="0.25">
      <c r="A131" t="s">
        <v>30</v>
      </c>
      <c r="B131">
        <v>2013</v>
      </c>
      <c r="C131">
        <v>5</v>
      </c>
      <c r="D131" s="13">
        <f t="shared" ref="D131:D194" si="10">DATE(B131,C131,1)</f>
        <v>41395</v>
      </c>
      <c r="E131">
        <v>110.9</v>
      </c>
      <c r="F131">
        <v>109.8</v>
      </c>
      <c r="G131">
        <v>105.9</v>
      </c>
      <c r="H131">
        <v>107.5</v>
      </c>
      <c r="I131">
        <v>105.3</v>
      </c>
      <c r="J131">
        <v>108.1</v>
      </c>
      <c r="K131">
        <v>107.3</v>
      </c>
      <c r="L131">
        <v>106.1</v>
      </c>
      <c r="M131">
        <v>103.7</v>
      </c>
      <c r="N131">
        <v>104</v>
      </c>
      <c r="O131">
        <v>107.4</v>
      </c>
      <c r="P131">
        <v>109.9</v>
      </c>
      <c r="Q131">
        <v>108.1</v>
      </c>
      <c r="R131" s="12">
        <f t="shared" ref="R131:R194" si="11">(Q131-Q130)/Q130</f>
        <v>-0.39235525576166391</v>
      </c>
      <c r="S131">
        <v>108.1</v>
      </c>
      <c r="T131">
        <v>108.8</v>
      </c>
      <c r="U131">
        <v>107.9</v>
      </c>
      <c r="V131">
        <v>108.6</v>
      </c>
      <c r="W131" t="s">
        <v>31</v>
      </c>
      <c r="X131">
        <v>107.5</v>
      </c>
      <c r="Y131" s="12">
        <f t="shared" ref="Y131:Y194" si="12">(X131-X130)/X130</f>
        <v>-0.4083654375343973</v>
      </c>
      <c r="Z131">
        <v>106.8</v>
      </c>
      <c r="AA131">
        <v>105.7</v>
      </c>
      <c r="AB131" s="12">
        <f t="shared" ref="AB131:AB194" si="13">(AA131-AA130)/AA130</f>
        <v>-0.42864864864864866</v>
      </c>
      <c r="AC131">
        <v>104.1</v>
      </c>
      <c r="AD131">
        <v>105</v>
      </c>
      <c r="AE131">
        <v>105.5</v>
      </c>
      <c r="AF131">
        <v>102.1</v>
      </c>
      <c r="AG131">
        <v>104.8</v>
      </c>
      <c r="AH131">
        <v>107.2</v>
      </c>
      <c r="AI131" t="str">
        <f t="shared" ref="AI131:AI194" si="14">IF(AND(J131&gt;150,K131&gt;150),"Yes","No")</f>
        <v>No</v>
      </c>
    </row>
    <row r="132" spans="1:35" x14ac:dyDescent="0.25">
      <c r="A132" t="s">
        <v>32</v>
      </c>
      <c r="B132">
        <v>2013</v>
      </c>
      <c r="C132">
        <v>5</v>
      </c>
      <c r="D132" s="13">
        <f t="shared" si="10"/>
        <v>41395</v>
      </c>
      <c r="E132">
        <v>115.4</v>
      </c>
      <c r="F132">
        <v>114.2</v>
      </c>
      <c r="G132">
        <v>102.7</v>
      </c>
      <c r="H132">
        <v>105.5</v>
      </c>
      <c r="I132">
        <v>101.5</v>
      </c>
      <c r="J132">
        <v>110.6</v>
      </c>
      <c r="K132">
        <v>123.7</v>
      </c>
      <c r="L132">
        <v>105.2</v>
      </c>
      <c r="M132">
        <v>101.9</v>
      </c>
      <c r="N132">
        <v>105</v>
      </c>
      <c r="O132">
        <v>109.1</v>
      </c>
      <c r="P132">
        <v>111.3</v>
      </c>
      <c r="Q132">
        <v>111.1</v>
      </c>
      <c r="R132" s="12">
        <f t="shared" si="11"/>
        <v>2.775208140610546E-2</v>
      </c>
      <c r="S132">
        <v>109.8</v>
      </c>
      <c r="T132">
        <v>108.5</v>
      </c>
      <c r="U132">
        <v>106.7</v>
      </c>
      <c r="V132">
        <v>108.3</v>
      </c>
      <c r="W132">
        <v>100.5</v>
      </c>
      <c r="X132">
        <v>107.2</v>
      </c>
      <c r="Y132" s="12">
        <f t="shared" si="12"/>
        <v>-2.7906976744185782E-3</v>
      </c>
      <c r="Z132">
        <v>107.1</v>
      </c>
      <c r="AA132">
        <v>106.2</v>
      </c>
      <c r="AB132" s="12">
        <f t="shared" si="13"/>
        <v>4.7303689687795648E-3</v>
      </c>
      <c r="AC132">
        <v>103.9</v>
      </c>
      <c r="AD132">
        <v>104.6</v>
      </c>
      <c r="AE132">
        <v>105.7</v>
      </c>
      <c r="AF132">
        <v>102.6</v>
      </c>
      <c r="AG132">
        <v>104.9</v>
      </c>
      <c r="AH132">
        <v>106.6</v>
      </c>
      <c r="AI132" t="str">
        <f t="shared" si="14"/>
        <v>No</v>
      </c>
    </row>
    <row r="133" spans="1:35" x14ac:dyDescent="0.25">
      <c r="A133" t="s">
        <v>33</v>
      </c>
      <c r="B133">
        <v>2013</v>
      </c>
      <c r="C133">
        <v>5</v>
      </c>
      <c r="D133" s="13">
        <f t="shared" si="10"/>
        <v>41395</v>
      </c>
      <c r="E133">
        <v>112.3</v>
      </c>
      <c r="F133">
        <v>111.3</v>
      </c>
      <c r="G133">
        <v>104.7</v>
      </c>
      <c r="H133">
        <v>106.8</v>
      </c>
      <c r="I133">
        <v>103.9</v>
      </c>
      <c r="J133">
        <v>109.3</v>
      </c>
      <c r="K133">
        <v>112.9</v>
      </c>
      <c r="L133">
        <v>105.8</v>
      </c>
      <c r="M133">
        <v>103.1</v>
      </c>
      <c r="N133">
        <v>104.3</v>
      </c>
      <c r="O133">
        <v>108.1</v>
      </c>
      <c r="P133">
        <v>110.5</v>
      </c>
      <c r="Q133">
        <v>109.2</v>
      </c>
      <c r="R133" s="12">
        <f t="shared" si="11"/>
        <v>-1.7101710171017026E-2</v>
      </c>
      <c r="S133">
        <v>108.6</v>
      </c>
      <c r="T133">
        <v>108.7</v>
      </c>
      <c r="U133">
        <v>107.4</v>
      </c>
      <c r="V133">
        <v>108.5</v>
      </c>
      <c r="W133">
        <v>100.5</v>
      </c>
      <c r="X133">
        <v>107.4</v>
      </c>
      <c r="Y133" s="12">
        <f t="shared" si="12"/>
        <v>1.8656716417910712E-3</v>
      </c>
      <c r="Z133">
        <v>106.9</v>
      </c>
      <c r="AA133">
        <v>105.9</v>
      </c>
      <c r="AB133" s="12">
        <f t="shared" si="13"/>
        <v>-2.82485875706212E-3</v>
      </c>
      <c r="AC133">
        <v>104</v>
      </c>
      <c r="AD133">
        <v>104.8</v>
      </c>
      <c r="AE133">
        <v>105.6</v>
      </c>
      <c r="AF133">
        <v>102.3</v>
      </c>
      <c r="AG133">
        <v>104.8</v>
      </c>
      <c r="AH133">
        <v>106.9</v>
      </c>
      <c r="AI133" t="str">
        <f t="shared" si="14"/>
        <v>No</v>
      </c>
    </row>
    <row r="134" spans="1:35" x14ac:dyDescent="0.25">
      <c r="A134" t="s">
        <v>30</v>
      </c>
      <c r="B134">
        <v>2014</v>
      </c>
      <c r="C134">
        <v>5</v>
      </c>
      <c r="D134" s="13">
        <f t="shared" si="10"/>
        <v>41760</v>
      </c>
      <c r="E134">
        <v>120.3</v>
      </c>
      <c r="F134">
        <v>120.2</v>
      </c>
      <c r="G134">
        <v>116.9</v>
      </c>
      <c r="H134">
        <v>118</v>
      </c>
      <c r="I134">
        <v>110.1</v>
      </c>
      <c r="J134">
        <v>126.3</v>
      </c>
      <c r="K134">
        <v>123.9</v>
      </c>
      <c r="L134">
        <v>111.5</v>
      </c>
      <c r="M134">
        <v>103.5</v>
      </c>
      <c r="N134">
        <v>111.6</v>
      </c>
      <c r="O134">
        <v>114.2</v>
      </c>
      <c r="P134">
        <v>119.2</v>
      </c>
      <c r="Q134">
        <v>118.2</v>
      </c>
      <c r="R134" s="12">
        <f t="shared" si="11"/>
        <v>8.2417582417582416E-2</v>
      </c>
      <c r="S134">
        <v>116.3</v>
      </c>
      <c r="T134">
        <v>118.7</v>
      </c>
      <c r="U134">
        <v>116.8</v>
      </c>
      <c r="V134">
        <v>118.5</v>
      </c>
      <c r="W134" t="s">
        <v>31</v>
      </c>
      <c r="X134">
        <v>113.4</v>
      </c>
      <c r="Y134" s="12">
        <f t="shared" si="12"/>
        <v>5.5865921787709494E-2</v>
      </c>
      <c r="Z134">
        <v>114.1</v>
      </c>
      <c r="AA134">
        <v>112.1</v>
      </c>
      <c r="AB134" s="12">
        <f t="shared" si="13"/>
        <v>5.8545797922568352E-2</v>
      </c>
      <c r="AC134">
        <v>111.4</v>
      </c>
      <c r="AD134">
        <v>110.9</v>
      </c>
      <c r="AE134">
        <v>113.1</v>
      </c>
      <c r="AF134">
        <v>108.9</v>
      </c>
      <c r="AG134">
        <v>111.8</v>
      </c>
      <c r="AH134">
        <v>116</v>
      </c>
      <c r="AI134" t="str">
        <f t="shared" si="14"/>
        <v>No</v>
      </c>
    </row>
    <row r="135" spans="1:35" x14ac:dyDescent="0.25">
      <c r="A135" t="s">
        <v>32</v>
      </c>
      <c r="B135">
        <v>2014</v>
      </c>
      <c r="C135">
        <v>5</v>
      </c>
      <c r="D135" s="13">
        <f t="shared" si="10"/>
        <v>41760</v>
      </c>
      <c r="E135">
        <v>122.7</v>
      </c>
      <c r="F135">
        <v>124.1</v>
      </c>
      <c r="G135">
        <v>114.2</v>
      </c>
      <c r="H135">
        <v>119.1</v>
      </c>
      <c r="I135">
        <v>103.5</v>
      </c>
      <c r="J135">
        <v>129.19999999999999</v>
      </c>
      <c r="K135">
        <v>127</v>
      </c>
      <c r="L135">
        <v>112.6</v>
      </c>
      <c r="M135">
        <v>101.3</v>
      </c>
      <c r="N135">
        <v>117</v>
      </c>
      <c r="O135">
        <v>112.9</v>
      </c>
      <c r="P135">
        <v>121.7</v>
      </c>
      <c r="Q135">
        <v>120</v>
      </c>
      <c r="R135" s="12">
        <f t="shared" si="11"/>
        <v>1.5228426395939063E-2</v>
      </c>
      <c r="S135">
        <v>118.3</v>
      </c>
      <c r="T135">
        <v>116.8</v>
      </c>
      <c r="U135">
        <v>112.9</v>
      </c>
      <c r="V135">
        <v>116.2</v>
      </c>
      <c r="W135">
        <v>114.3</v>
      </c>
      <c r="X135">
        <v>111.1</v>
      </c>
      <c r="Y135" s="12">
        <f t="shared" si="12"/>
        <v>-2.0282186948853715E-2</v>
      </c>
      <c r="Z135">
        <v>114.1</v>
      </c>
      <c r="AA135">
        <v>111.2</v>
      </c>
      <c r="AB135" s="12">
        <f t="shared" si="13"/>
        <v>-8.0285459411239216E-3</v>
      </c>
      <c r="AC135">
        <v>111.3</v>
      </c>
      <c r="AD135">
        <v>111.5</v>
      </c>
      <c r="AE135">
        <v>112.9</v>
      </c>
      <c r="AF135">
        <v>109.3</v>
      </c>
      <c r="AG135">
        <v>111.7</v>
      </c>
      <c r="AH135">
        <v>115.6</v>
      </c>
      <c r="AI135" t="str">
        <f t="shared" si="14"/>
        <v>No</v>
      </c>
    </row>
    <row r="136" spans="1:35" x14ac:dyDescent="0.25">
      <c r="A136" t="s">
        <v>33</v>
      </c>
      <c r="B136">
        <v>2014</v>
      </c>
      <c r="C136">
        <v>5</v>
      </c>
      <c r="D136" s="13">
        <f t="shared" si="10"/>
        <v>41760</v>
      </c>
      <c r="E136">
        <v>121.1</v>
      </c>
      <c r="F136">
        <v>121.6</v>
      </c>
      <c r="G136">
        <v>115.9</v>
      </c>
      <c r="H136">
        <v>118.4</v>
      </c>
      <c r="I136">
        <v>107.7</v>
      </c>
      <c r="J136">
        <v>127.7</v>
      </c>
      <c r="K136">
        <v>125</v>
      </c>
      <c r="L136">
        <v>111.9</v>
      </c>
      <c r="M136">
        <v>102.8</v>
      </c>
      <c r="N136">
        <v>113.4</v>
      </c>
      <c r="O136">
        <v>113.7</v>
      </c>
      <c r="P136">
        <v>120.4</v>
      </c>
      <c r="Q136">
        <v>118.9</v>
      </c>
      <c r="R136" s="12">
        <f t="shared" si="11"/>
        <v>-9.1666666666666199E-3</v>
      </c>
      <c r="S136">
        <v>116.8</v>
      </c>
      <c r="T136">
        <v>118</v>
      </c>
      <c r="U136">
        <v>115.2</v>
      </c>
      <c r="V136">
        <v>117.6</v>
      </c>
      <c r="W136">
        <v>114.3</v>
      </c>
      <c r="X136">
        <v>112.5</v>
      </c>
      <c r="Y136" s="12">
        <f t="shared" si="12"/>
        <v>1.2601260126012653E-2</v>
      </c>
      <c r="Z136">
        <v>114.1</v>
      </c>
      <c r="AA136">
        <v>111.8</v>
      </c>
      <c r="AB136" s="12">
        <f t="shared" si="13"/>
        <v>5.3956834532373592E-3</v>
      </c>
      <c r="AC136">
        <v>111.3</v>
      </c>
      <c r="AD136">
        <v>111.2</v>
      </c>
      <c r="AE136">
        <v>113</v>
      </c>
      <c r="AF136">
        <v>109.1</v>
      </c>
      <c r="AG136">
        <v>111.8</v>
      </c>
      <c r="AH136">
        <v>115.8</v>
      </c>
      <c r="AI136" t="str">
        <f t="shared" si="14"/>
        <v>No</v>
      </c>
    </row>
    <row r="137" spans="1:35" x14ac:dyDescent="0.25">
      <c r="A137" t="s">
        <v>30</v>
      </c>
      <c r="B137">
        <v>2015</v>
      </c>
      <c r="C137">
        <v>5</v>
      </c>
      <c r="D137" s="13">
        <f t="shared" si="10"/>
        <v>42125</v>
      </c>
      <c r="E137">
        <v>123.5</v>
      </c>
      <c r="F137">
        <v>127.1</v>
      </c>
      <c r="G137">
        <v>117.3</v>
      </c>
      <c r="H137">
        <v>127.7</v>
      </c>
      <c r="I137">
        <v>112.5</v>
      </c>
      <c r="J137">
        <v>134.1</v>
      </c>
      <c r="K137">
        <v>128.5</v>
      </c>
      <c r="L137">
        <v>124.3</v>
      </c>
      <c r="M137">
        <v>97.6</v>
      </c>
      <c r="N137">
        <v>120.7</v>
      </c>
      <c r="O137">
        <v>120.2</v>
      </c>
      <c r="P137">
        <v>129.80000000000001</v>
      </c>
      <c r="Q137">
        <v>124.4</v>
      </c>
      <c r="R137" s="12">
        <f t="shared" si="11"/>
        <v>4.6257359125315388E-2</v>
      </c>
      <c r="S137">
        <v>126.7</v>
      </c>
      <c r="T137">
        <v>127.3</v>
      </c>
      <c r="U137">
        <v>124.1</v>
      </c>
      <c r="V137">
        <v>126.8</v>
      </c>
      <c r="W137" t="s">
        <v>31</v>
      </c>
      <c r="X137">
        <v>121.9</v>
      </c>
      <c r="Y137" s="12">
        <f t="shared" si="12"/>
        <v>8.3555555555555605E-2</v>
      </c>
      <c r="Z137">
        <v>121.5</v>
      </c>
      <c r="AA137">
        <v>119.4</v>
      </c>
      <c r="AB137" s="12">
        <f t="shared" si="13"/>
        <v>6.7978533094812249E-2</v>
      </c>
      <c r="AC137">
        <v>113.3</v>
      </c>
      <c r="AD137">
        <v>116.7</v>
      </c>
      <c r="AE137">
        <v>120.5</v>
      </c>
      <c r="AF137">
        <v>112.3</v>
      </c>
      <c r="AG137">
        <v>116.9</v>
      </c>
      <c r="AH137">
        <v>122.4</v>
      </c>
      <c r="AI137" t="str">
        <f t="shared" si="14"/>
        <v>No</v>
      </c>
    </row>
    <row r="138" spans="1:35" x14ac:dyDescent="0.25">
      <c r="A138" t="s">
        <v>32</v>
      </c>
      <c r="B138">
        <v>2015</v>
      </c>
      <c r="C138">
        <v>5</v>
      </c>
      <c r="D138" s="13">
        <f t="shared" si="10"/>
        <v>42125</v>
      </c>
      <c r="E138">
        <v>123.8</v>
      </c>
      <c r="F138">
        <v>129.69999999999999</v>
      </c>
      <c r="G138">
        <v>111.3</v>
      </c>
      <c r="H138">
        <v>126.6</v>
      </c>
      <c r="I138">
        <v>105.2</v>
      </c>
      <c r="J138">
        <v>130.80000000000001</v>
      </c>
      <c r="K138">
        <v>135.6</v>
      </c>
      <c r="L138">
        <v>142.6</v>
      </c>
      <c r="M138">
        <v>90.8</v>
      </c>
      <c r="N138">
        <v>128.80000000000001</v>
      </c>
      <c r="O138">
        <v>117.7</v>
      </c>
      <c r="P138">
        <v>129.9</v>
      </c>
      <c r="Q138">
        <v>126.1</v>
      </c>
      <c r="R138" s="12">
        <f t="shared" si="11"/>
        <v>1.3665594855305375E-2</v>
      </c>
      <c r="S138">
        <v>131.30000000000001</v>
      </c>
      <c r="T138">
        <v>122.4</v>
      </c>
      <c r="U138">
        <v>117.4</v>
      </c>
      <c r="V138">
        <v>121.6</v>
      </c>
      <c r="W138">
        <v>119.6</v>
      </c>
      <c r="X138">
        <v>114.9</v>
      </c>
      <c r="Y138" s="12">
        <f t="shared" si="12"/>
        <v>-5.7424118129614433E-2</v>
      </c>
      <c r="Z138">
        <v>118.7</v>
      </c>
      <c r="AA138">
        <v>114.9</v>
      </c>
      <c r="AB138" s="12">
        <f t="shared" si="13"/>
        <v>-3.7688442211055273E-2</v>
      </c>
      <c r="AC138">
        <v>110.8</v>
      </c>
      <c r="AD138">
        <v>116</v>
      </c>
      <c r="AE138">
        <v>122</v>
      </c>
      <c r="AF138">
        <v>112.4</v>
      </c>
      <c r="AG138">
        <v>115.2</v>
      </c>
      <c r="AH138">
        <v>120.7</v>
      </c>
      <c r="AI138" t="str">
        <f t="shared" si="14"/>
        <v>No</v>
      </c>
    </row>
    <row r="139" spans="1:35" x14ac:dyDescent="0.25">
      <c r="A139" t="s">
        <v>33</v>
      </c>
      <c r="B139">
        <v>2015</v>
      </c>
      <c r="C139">
        <v>5</v>
      </c>
      <c r="D139" s="13">
        <f t="shared" si="10"/>
        <v>42125</v>
      </c>
      <c r="E139">
        <v>123.6</v>
      </c>
      <c r="F139">
        <v>128</v>
      </c>
      <c r="G139">
        <v>115</v>
      </c>
      <c r="H139">
        <v>127.3</v>
      </c>
      <c r="I139">
        <v>109.8</v>
      </c>
      <c r="J139">
        <v>132.6</v>
      </c>
      <c r="K139">
        <v>130.9</v>
      </c>
      <c r="L139">
        <v>130.5</v>
      </c>
      <c r="M139">
        <v>95.3</v>
      </c>
      <c r="N139">
        <v>123.4</v>
      </c>
      <c r="O139">
        <v>119.2</v>
      </c>
      <c r="P139">
        <v>129.80000000000001</v>
      </c>
      <c r="Q139">
        <v>125</v>
      </c>
      <c r="R139" s="12">
        <f t="shared" si="11"/>
        <v>-8.7232355273591938E-3</v>
      </c>
      <c r="S139">
        <v>127.9</v>
      </c>
      <c r="T139">
        <v>125.4</v>
      </c>
      <c r="U139">
        <v>121.3</v>
      </c>
      <c r="V139">
        <v>124.7</v>
      </c>
      <c r="W139">
        <v>119.6</v>
      </c>
      <c r="X139">
        <v>119.2</v>
      </c>
      <c r="Y139" s="12">
        <f t="shared" si="12"/>
        <v>3.7423846823324607E-2</v>
      </c>
      <c r="Z139">
        <v>120.2</v>
      </c>
      <c r="AA139">
        <v>117.7</v>
      </c>
      <c r="AB139" s="12">
        <f t="shared" si="13"/>
        <v>2.4369016536118338E-2</v>
      </c>
      <c r="AC139">
        <v>112</v>
      </c>
      <c r="AD139">
        <v>116.3</v>
      </c>
      <c r="AE139">
        <v>121.4</v>
      </c>
      <c r="AF139">
        <v>112.3</v>
      </c>
      <c r="AG139">
        <v>116.1</v>
      </c>
      <c r="AH139">
        <v>121.6</v>
      </c>
      <c r="AI139" t="str">
        <f t="shared" si="14"/>
        <v>No</v>
      </c>
    </row>
    <row r="140" spans="1:35" x14ac:dyDescent="0.25">
      <c r="A140" t="s">
        <v>30</v>
      </c>
      <c r="B140">
        <v>2016</v>
      </c>
      <c r="C140">
        <v>5</v>
      </c>
      <c r="D140" s="13">
        <f t="shared" si="10"/>
        <v>42491</v>
      </c>
      <c r="E140">
        <v>127.6</v>
      </c>
      <c r="F140">
        <v>137.5</v>
      </c>
      <c r="G140">
        <v>124.4</v>
      </c>
      <c r="H140">
        <v>132.4</v>
      </c>
      <c r="I140">
        <v>118.2</v>
      </c>
      <c r="J140">
        <v>138.1</v>
      </c>
      <c r="K140">
        <v>141.80000000000001</v>
      </c>
      <c r="L140">
        <v>166</v>
      </c>
      <c r="M140">
        <v>107.5</v>
      </c>
      <c r="N140">
        <v>132.19999999999999</v>
      </c>
      <c r="O140">
        <v>126.1</v>
      </c>
      <c r="P140">
        <v>138.30000000000001</v>
      </c>
      <c r="Q140">
        <v>133.6</v>
      </c>
      <c r="R140" s="12">
        <f t="shared" si="11"/>
        <v>6.8799999999999958E-2</v>
      </c>
      <c r="S140">
        <v>136</v>
      </c>
      <c r="T140">
        <v>135.4</v>
      </c>
      <c r="U140">
        <v>131.1</v>
      </c>
      <c r="V140">
        <v>134.80000000000001</v>
      </c>
      <c r="W140" t="s">
        <v>31</v>
      </c>
      <c r="X140">
        <v>127.4</v>
      </c>
      <c r="Y140" s="12">
        <f t="shared" si="12"/>
        <v>6.8791946308724858E-2</v>
      </c>
      <c r="Z140">
        <v>128.5</v>
      </c>
      <c r="AA140">
        <v>125.8</v>
      </c>
      <c r="AB140" s="12">
        <f t="shared" si="13"/>
        <v>6.8819031435853814E-2</v>
      </c>
      <c r="AC140">
        <v>115.1</v>
      </c>
      <c r="AD140">
        <v>123.6</v>
      </c>
      <c r="AE140">
        <v>129.1</v>
      </c>
      <c r="AF140">
        <v>119.7</v>
      </c>
      <c r="AG140">
        <v>122.5</v>
      </c>
      <c r="AH140">
        <v>130.30000000000001</v>
      </c>
      <c r="AI140" t="str">
        <f t="shared" si="14"/>
        <v>No</v>
      </c>
    </row>
    <row r="141" spans="1:35" x14ac:dyDescent="0.25">
      <c r="A141" t="s">
        <v>32</v>
      </c>
      <c r="B141">
        <v>2016</v>
      </c>
      <c r="C141">
        <v>5</v>
      </c>
      <c r="D141" s="13">
        <f t="shared" si="10"/>
        <v>42491</v>
      </c>
      <c r="E141">
        <v>125</v>
      </c>
      <c r="F141">
        <v>142.1</v>
      </c>
      <c r="G141">
        <v>127</v>
      </c>
      <c r="H141">
        <v>130.4</v>
      </c>
      <c r="I141">
        <v>109.6</v>
      </c>
      <c r="J141">
        <v>133.5</v>
      </c>
      <c r="K141">
        <v>151.4</v>
      </c>
      <c r="L141">
        <v>182.8</v>
      </c>
      <c r="M141">
        <v>111.1</v>
      </c>
      <c r="N141">
        <v>141.5</v>
      </c>
      <c r="O141">
        <v>121.5</v>
      </c>
      <c r="P141">
        <v>136.30000000000001</v>
      </c>
      <c r="Q141">
        <v>134.6</v>
      </c>
      <c r="R141" s="12">
        <f t="shared" si="11"/>
        <v>7.4850299401197605E-3</v>
      </c>
      <c r="S141">
        <v>142.19999999999999</v>
      </c>
      <c r="T141">
        <v>127.2</v>
      </c>
      <c r="U141">
        <v>120.7</v>
      </c>
      <c r="V141">
        <v>126.2</v>
      </c>
      <c r="W141">
        <v>126</v>
      </c>
      <c r="X141">
        <v>115</v>
      </c>
      <c r="Y141" s="12">
        <f t="shared" si="12"/>
        <v>-9.7331240188383086E-2</v>
      </c>
      <c r="Z141">
        <v>123.2</v>
      </c>
      <c r="AA141">
        <v>120.3</v>
      </c>
      <c r="AB141" s="12">
        <f t="shared" si="13"/>
        <v>-4.372019077901431E-2</v>
      </c>
      <c r="AC141">
        <v>110.7</v>
      </c>
      <c r="AD141">
        <v>119.8</v>
      </c>
      <c r="AE141">
        <v>128</v>
      </c>
      <c r="AF141">
        <v>118.5</v>
      </c>
      <c r="AG141">
        <v>118.7</v>
      </c>
      <c r="AH141">
        <v>126.6</v>
      </c>
      <c r="AI141" t="str">
        <f t="shared" si="14"/>
        <v>No</v>
      </c>
    </row>
    <row r="142" spans="1:35" x14ac:dyDescent="0.25">
      <c r="A142" t="s">
        <v>33</v>
      </c>
      <c r="B142">
        <v>2016</v>
      </c>
      <c r="C142">
        <v>5</v>
      </c>
      <c r="D142" s="13">
        <f t="shared" si="10"/>
        <v>42491</v>
      </c>
      <c r="E142">
        <v>126.8</v>
      </c>
      <c r="F142">
        <v>139.1</v>
      </c>
      <c r="G142">
        <v>125.4</v>
      </c>
      <c r="H142">
        <v>131.69999999999999</v>
      </c>
      <c r="I142">
        <v>115</v>
      </c>
      <c r="J142">
        <v>136</v>
      </c>
      <c r="K142">
        <v>145.1</v>
      </c>
      <c r="L142">
        <v>171.7</v>
      </c>
      <c r="M142">
        <v>108.7</v>
      </c>
      <c r="N142">
        <v>135.30000000000001</v>
      </c>
      <c r="O142">
        <v>124.2</v>
      </c>
      <c r="P142">
        <v>137.4</v>
      </c>
      <c r="Q142">
        <v>134</v>
      </c>
      <c r="R142" s="12">
        <f t="shared" si="11"/>
        <v>-4.4576523031203148E-3</v>
      </c>
      <c r="S142">
        <v>137.69999999999999</v>
      </c>
      <c r="T142">
        <v>132.19999999999999</v>
      </c>
      <c r="U142">
        <v>126.8</v>
      </c>
      <c r="V142">
        <v>131.4</v>
      </c>
      <c r="W142">
        <v>126</v>
      </c>
      <c r="X142">
        <v>122.7</v>
      </c>
      <c r="Y142" s="12">
        <f t="shared" si="12"/>
        <v>6.6956521739130456E-2</v>
      </c>
      <c r="Z142">
        <v>126</v>
      </c>
      <c r="AA142">
        <v>123.7</v>
      </c>
      <c r="AB142" s="12">
        <f t="shared" si="13"/>
        <v>2.8262676641729059E-2</v>
      </c>
      <c r="AC142">
        <v>112.8</v>
      </c>
      <c r="AD142">
        <v>121.5</v>
      </c>
      <c r="AE142">
        <v>128.5</v>
      </c>
      <c r="AF142">
        <v>119.2</v>
      </c>
      <c r="AG142">
        <v>120.7</v>
      </c>
      <c r="AH142">
        <v>128.6</v>
      </c>
      <c r="AI142" t="str">
        <f t="shared" si="14"/>
        <v>No</v>
      </c>
    </row>
    <row r="143" spans="1:35" x14ac:dyDescent="0.25">
      <c r="A143" t="s">
        <v>30</v>
      </c>
      <c r="B143">
        <v>2017</v>
      </c>
      <c r="C143">
        <v>5</v>
      </c>
      <c r="D143" s="13">
        <f t="shared" si="10"/>
        <v>42856</v>
      </c>
      <c r="E143">
        <v>133.1</v>
      </c>
      <c r="F143">
        <v>140.30000000000001</v>
      </c>
      <c r="G143">
        <v>126.8</v>
      </c>
      <c r="H143">
        <v>138.19999999999999</v>
      </c>
      <c r="I143">
        <v>120.8</v>
      </c>
      <c r="J143">
        <v>140.19999999999999</v>
      </c>
      <c r="K143">
        <v>123.8</v>
      </c>
      <c r="L143">
        <v>141.80000000000001</v>
      </c>
      <c r="M143">
        <v>118.6</v>
      </c>
      <c r="N143">
        <v>134</v>
      </c>
      <c r="O143">
        <v>130.30000000000001</v>
      </c>
      <c r="P143">
        <v>145.80000000000001</v>
      </c>
      <c r="Q143">
        <v>133.80000000000001</v>
      </c>
      <c r="R143" s="12">
        <f t="shared" si="11"/>
        <v>-1.4925373134327511E-3</v>
      </c>
      <c r="S143">
        <v>145.5</v>
      </c>
      <c r="T143">
        <v>142.5</v>
      </c>
      <c r="U143">
        <v>137.30000000000001</v>
      </c>
      <c r="V143">
        <v>141.80000000000001</v>
      </c>
      <c r="W143" t="s">
        <v>31</v>
      </c>
      <c r="X143">
        <v>135</v>
      </c>
      <c r="Y143" s="12">
        <f t="shared" si="12"/>
        <v>0.10024449877750609</v>
      </c>
      <c r="Z143">
        <v>134.9</v>
      </c>
      <c r="AA143">
        <v>131.4</v>
      </c>
      <c r="AB143" s="12">
        <f t="shared" si="13"/>
        <v>6.2247372675828638E-2</v>
      </c>
      <c r="AC143">
        <v>119.4</v>
      </c>
      <c r="AD143">
        <v>129.4</v>
      </c>
      <c r="AE143">
        <v>136.30000000000001</v>
      </c>
      <c r="AF143">
        <v>123.7</v>
      </c>
      <c r="AG143">
        <v>127.9</v>
      </c>
      <c r="AH143">
        <v>133.30000000000001</v>
      </c>
      <c r="AI143" t="str">
        <f t="shared" si="14"/>
        <v>No</v>
      </c>
    </row>
    <row r="144" spans="1:35" x14ac:dyDescent="0.25">
      <c r="A144" t="s">
        <v>32</v>
      </c>
      <c r="B144">
        <v>2017</v>
      </c>
      <c r="C144">
        <v>5</v>
      </c>
      <c r="D144" s="13">
        <f t="shared" si="10"/>
        <v>42856</v>
      </c>
      <c r="E144">
        <v>132.6</v>
      </c>
      <c r="F144">
        <v>144.1</v>
      </c>
      <c r="G144">
        <v>125.6</v>
      </c>
      <c r="H144">
        <v>136.80000000000001</v>
      </c>
      <c r="I144">
        <v>113.4</v>
      </c>
      <c r="J144">
        <v>135.19999999999999</v>
      </c>
      <c r="K144">
        <v>129.19999999999999</v>
      </c>
      <c r="L144">
        <v>131.5</v>
      </c>
      <c r="M144">
        <v>121</v>
      </c>
      <c r="N144">
        <v>139.9</v>
      </c>
      <c r="O144">
        <v>123.8</v>
      </c>
      <c r="P144">
        <v>142.9</v>
      </c>
      <c r="Q144">
        <v>133.6</v>
      </c>
      <c r="R144" s="12">
        <f t="shared" si="11"/>
        <v>-1.494768310911936E-3</v>
      </c>
      <c r="S144">
        <v>148.30000000000001</v>
      </c>
      <c r="T144">
        <v>131.5</v>
      </c>
      <c r="U144">
        <v>123.2</v>
      </c>
      <c r="V144">
        <v>130.19999999999999</v>
      </c>
      <c r="W144">
        <v>132.1</v>
      </c>
      <c r="X144">
        <v>120.1</v>
      </c>
      <c r="Y144" s="12">
        <f t="shared" si="12"/>
        <v>-0.11037037037037041</v>
      </c>
      <c r="Z144">
        <v>126.5</v>
      </c>
      <c r="AA144">
        <v>123.6</v>
      </c>
      <c r="AB144" s="12">
        <f t="shared" si="13"/>
        <v>-5.9360730593607393E-2</v>
      </c>
      <c r="AC144">
        <v>114.3</v>
      </c>
      <c r="AD144">
        <v>122.8</v>
      </c>
      <c r="AE144">
        <v>133.80000000000001</v>
      </c>
      <c r="AF144">
        <v>122</v>
      </c>
      <c r="AG144">
        <v>122.6</v>
      </c>
      <c r="AH144">
        <v>129.30000000000001</v>
      </c>
      <c r="AI144" t="str">
        <f t="shared" si="14"/>
        <v>No</v>
      </c>
    </row>
    <row r="145" spans="1:35" x14ac:dyDescent="0.25">
      <c r="A145" t="s">
        <v>33</v>
      </c>
      <c r="B145">
        <v>2017</v>
      </c>
      <c r="C145">
        <v>5</v>
      </c>
      <c r="D145" s="13">
        <f t="shared" si="10"/>
        <v>42856</v>
      </c>
      <c r="E145">
        <v>132.9</v>
      </c>
      <c r="F145">
        <v>141.6</v>
      </c>
      <c r="G145">
        <v>126.3</v>
      </c>
      <c r="H145">
        <v>137.69999999999999</v>
      </c>
      <c r="I145">
        <v>118.1</v>
      </c>
      <c r="J145">
        <v>137.9</v>
      </c>
      <c r="K145">
        <v>125.6</v>
      </c>
      <c r="L145">
        <v>138.30000000000001</v>
      </c>
      <c r="M145">
        <v>119.4</v>
      </c>
      <c r="N145">
        <v>136</v>
      </c>
      <c r="O145">
        <v>127.6</v>
      </c>
      <c r="P145">
        <v>144.5</v>
      </c>
      <c r="Q145">
        <v>133.69999999999999</v>
      </c>
      <c r="R145" s="12">
        <f t="shared" si="11"/>
        <v>7.4850299401193348E-4</v>
      </c>
      <c r="S145">
        <v>146.19999999999999</v>
      </c>
      <c r="T145">
        <v>138.19999999999999</v>
      </c>
      <c r="U145">
        <v>131.4</v>
      </c>
      <c r="V145">
        <v>137.19999999999999</v>
      </c>
      <c r="W145">
        <v>132.1</v>
      </c>
      <c r="X145">
        <v>129.4</v>
      </c>
      <c r="Y145" s="12">
        <f t="shared" si="12"/>
        <v>7.7435470441299017E-2</v>
      </c>
      <c r="Z145">
        <v>130.9</v>
      </c>
      <c r="AA145">
        <v>128.4</v>
      </c>
      <c r="AB145" s="12">
        <f t="shared" si="13"/>
        <v>3.8834951456310773E-2</v>
      </c>
      <c r="AC145">
        <v>116.7</v>
      </c>
      <c r="AD145">
        <v>125.7</v>
      </c>
      <c r="AE145">
        <v>134.80000000000001</v>
      </c>
      <c r="AF145">
        <v>123</v>
      </c>
      <c r="AG145">
        <v>125.3</v>
      </c>
      <c r="AH145">
        <v>131.4</v>
      </c>
      <c r="AI145" t="str">
        <f t="shared" si="14"/>
        <v>No</v>
      </c>
    </row>
    <row r="146" spans="1:35" x14ac:dyDescent="0.25">
      <c r="A146" t="s">
        <v>30</v>
      </c>
      <c r="B146">
        <v>2018</v>
      </c>
      <c r="C146">
        <v>5</v>
      </c>
      <c r="D146" s="13">
        <f t="shared" si="10"/>
        <v>43221</v>
      </c>
      <c r="E146">
        <v>137.4</v>
      </c>
      <c r="F146">
        <v>145.69999999999999</v>
      </c>
      <c r="G146">
        <v>135.5</v>
      </c>
      <c r="H146">
        <v>142.9</v>
      </c>
      <c r="I146">
        <v>123.6</v>
      </c>
      <c r="J146">
        <v>157.5</v>
      </c>
      <c r="K146">
        <v>137.80000000000001</v>
      </c>
      <c r="L146">
        <v>127.2</v>
      </c>
      <c r="M146">
        <v>111.8</v>
      </c>
      <c r="N146">
        <v>137.4</v>
      </c>
      <c r="O146">
        <v>132.19999999999999</v>
      </c>
      <c r="P146">
        <v>154.30000000000001</v>
      </c>
      <c r="Q146">
        <v>139.1</v>
      </c>
      <c r="R146" s="12">
        <f t="shared" si="11"/>
        <v>4.0388930441286511E-2</v>
      </c>
      <c r="S146">
        <v>157</v>
      </c>
      <c r="T146">
        <v>150.80000000000001</v>
      </c>
      <c r="U146">
        <v>144.1</v>
      </c>
      <c r="V146">
        <v>149.80000000000001</v>
      </c>
      <c r="W146" t="s">
        <v>31</v>
      </c>
      <c r="X146">
        <v>144.30000000000001</v>
      </c>
      <c r="Y146" s="12">
        <f t="shared" si="12"/>
        <v>0.11514683153013915</v>
      </c>
      <c r="Z146">
        <v>141.80000000000001</v>
      </c>
      <c r="AA146">
        <v>138.4</v>
      </c>
      <c r="AB146" s="12">
        <f t="shared" si="13"/>
        <v>7.7881619937694699E-2</v>
      </c>
      <c r="AC146">
        <v>126.4</v>
      </c>
      <c r="AD146">
        <v>136.80000000000001</v>
      </c>
      <c r="AE146">
        <v>144.4</v>
      </c>
      <c r="AF146">
        <v>131.19999999999999</v>
      </c>
      <c r="AG146">
        <v>135.1</v>
      </c>
      <c r="AH146">
        <v>139.80000000000001</v>
      </c>
      <c r="AI146" t="str">
        <f t="shared" si="14"/>
        <v>No</v>
      </c>
    </row>
    <row r="147" spans="1:35" x14ac:dyDescent="0.25">
      <c r="A147" t="s">
        <v>32</v>
      </c>
      <c r="B147">
        <v>2018</v>
      </c>
      <c r="C147">
        <v>5</v>
      </c>
      <c r="D147" s="13">
        <f t="shared" si="10"/>
        <v>43221</v>
      </c>
      <c r="E147">
        <v>135</v>
      </c>
      <c r="F147">
        <v>148.19999999999999</v>
      </c>
      <c r="G147">
        <v>130.5</v>
      </c>
      <c r="H147">
        <v>140.69999999999999</v>
      </c>
      <c r="I147">
        <v>116.4</v>
      </c>
      <c r="J147">
        <v>151.30000000000001</v>
      </c>
      <c r="K147">
        <v>131.4</v>
      </c>
      <c r="L147">
        <v>112.8</v>
      </c>
      <c r="M147">
        <v>105.3</v>
      </c>
      <c r="N147">
        <v>139.6</v>
      </c>
      <c r="O147">
        <v>126.6</v>
      </c>
      <c r="P147">
        <v>148.69999999999999</v>
      </c>
      <c r="Q147">
        <v>136.4</v>
      </c>
      <c r="R147" s="12">
        <f t="shared" si="11"/>
        <v>-1.9410496046009983E-2</v>
      </c>
      <c r="S147">
        <v>160.30000000000001</v>
      </c>
      <c r="T147">
        <v>138.6</v>
      </c>
      <c r="U147">
        <v>127.9</v>
      </c>
      <c r="V147">
        <v>137</v>
      </c>
      <c r="W147">
        <v>143.19999999999999</v>
      </c>
      <c r="X147">
        <v>124.7</v>
      </c>
      <c r="Y147" s="12">
        <f t="shared" si="12"/>
        <v>-0.13582813582813588</v>
      </c>
      <c r="Z147">
        <v>132.5</v>
      </c>
      <c r="AA147">
        <v>132</v>
      </c>
      <c r="AB147" s="12">
        <f t="shared" si="13"/>
        <v>-4.6242774566474028E-2</v>
      </c>
      <c r="AC147">
        <v>119.8</v>
      </c>
      <c r="AD147">
        <v>128</v>
      </c>
      <c r="AE147">
        <v>140.4</v>
      </c>
      <c r="AF147">
        <v>128.1</v>
      </c>
      <c r="AG147">
        <v>128.9</v>
      </c>
      <c r="AH147">
        <v>135.4</v>
      </c>
      <c r="AI147" t="str">
        <f t="shared" si="14"/>
        <v>No</v>
      </c>
    </row>
    <row r="148" spans="1:35" x14ac:dyDescent="0.25">
      <c r="A148" t="s">
        <v>33</v>
      </c>
      <c r="B148">
        <v>2018</v>
      </c>
      <c r="C148">
        <v>5</v>
      </c>
      <c r="D148" s="13">
        <f t="shared" si="10"/>
        <v>43221</v>
      </c>
      <c r="E148">
        <v>136.6</v>
      </c>
      <c r="F148">
        <v>146.6</v>
      </c>
      <c r="G148">
        <v>133.6</v>
      </c>
      <c r="H148">
        <v>142.1</v>
      </c>
      <c r="I148">
        <v>121</v>
      </c>
      <c r="J148">
        <v>154.6</v>
      </c>
      <c r="K148">
        <v>135.6</v>
      </c>
      <c r="L148">
        <v>122.3</v>
      </c>
      <c r="M148">
        <v>109.6</v>
      </c>
      <c r="N148">
        <v>138.1</v>
      </c>
      <c r="O148">
        <v>129.9</v>
      </c>
      <c r="P148">
        <v>151.69999999999999</v>
      </c>
      <c r="Q148">
        <v>138.1</v>
      </c>
      <c r="R148" s="12">
        <f t="shared" si="11"/>
        <v>1.2463343108504315E-2</v>
      </c>
      <c r="S148">
        <v>157.9</v>
      </c>
      <c r="T148">
        <v>146</v>
      </c>
      <c r="U148">
        <v>137.4</v>
      </c>
      <c r="V148">
        <v>144.69999999999999</v>
      </c>
      <c r="W148">
        <v>143.19999999999999</v>
      </c>
      <c r="X148">
        <v>136.9</v>
      </c>
      <c r="Y148" s="12">
        <f t="shared" si="12"/>
        <v>9.783480352846835E-2</v>
      </c>
      <c r="Z148">
        <v>137.4</v>
      </c>
      <c r="AA148">
        <v>136</v>
      </c>
      <c r="AB148" s="12">
        <f t="shared" si="13"/>
        <v>3.0303030303030304E-2</v>
      </c>
      <c r="AC148">
        <v>122.9</v>
      </c>
      <c r="AD148">
        <v>131.80000000000001</v>
      </c>
      <c r="AE148">
        <v>142.1</v>
      </c>
      <c r="AF148">
        <v>129.9</v>
      </c>
      <c r="AG148">
        <v>132.1</v>
      </c>
      <c r="AH148">
        <v>137.80000000000001</v>
      </c>
      <c r="AI148" t="str">
        <f t="shared" si="14"/>
        <v>No</v>
      </c>
    </row>
    <row r="149" spans="1:35" x14ac:dyDescent="0.25">
      <c r="A149" t="s">
        <v>30</v>
      </c>
      <c r="B149">
        <v>2019</v>
      </c>
      <c r="C149">
        <v>5</v>
      </c>
      <c r="D149" s="13">
        <f t="shared" si="10"/>
        <v>43586</v>
      </c>
      <c r="E149">
        <v>137.4</v>
      </c>
      <c r="F149">
        <v>159.5</v>
      </c>
      <c r="G149">
        <v>134.5</v>
      </c>
      <c r="H149">
        <v>142.6</v>
      </c>
      <c r="I149">
        <v>124</v>
      </c>
      <c r="J149">
        <v>143.69999999999999</v>
      </c>
      <c r="K149">
        <v>133.4</v>
      </c>
      <c r="L149">
        <v>125.1</v>
      </c>
      <c r="M149">
        <v>109.3</v>
      </c>
      <c r="N149">
        <v>139.30000000000001</v>
      </c>
      <c r="O149">
        <v>137.69999999999999</v>
      </c>
      <c r="P149">
        <v>156.4</v>
      </c>
      <c r="Q149">
        <v>139.19999999999999</v>
      </c>
      <c r="R149" s="12">
        <f t="shared" si="11"/>
        <v>7.9652425778421031E-3</v>
      </c>
      <c r="S149">
        <v>163.30000000000001</v>
      </c>
      <c r="T149">
        <v>151.30000000000001</v>
      </c>
      <c r="U149">
        <v>146.6</v>
      </c>
      <c r="V149">
        <v>150.69999999999999</v>
      </c>
      <c r="W149" t="s">
        <v>31</v>
      </c>
      <c r="X149">
        <v>146.9</v>
      </c>
      <c r="Y149" s="12">
        <f t="shared" si="12"/>
        <v>7.3046018991964931E-2</v>
      </c>
      <c r="Z149">
        <v>149.5</v>
      </c>
      <c r="AA149">
        <v>151.30000000000001</v>
      </c>
      <c r="AB149" s="12">
        <f t="shared" si="13"/>
        <v>0.11250000000000009</v>
      </c>
      <c r="AC149">
        <v>130.19999999999999</v>
      </c>
      <c r="AD149">
        <v>145.9</v>
      </c>
      <c r="AE149">
        <v>156.69999999999999</v>
      </c>
      <c r="AF149">
        <v>133.9</v>
      </c>
      <c r="AG149">
        <v>142.9</v>
      </c>
      <c r="AH149">
        <v>142.4</v>
      </c>
      <c r="AI149" t="str">
        <f t="shared" si="14"/>
        <v>No</v>
      </c>
    </row>
    <row r="150" spans="1:35" x14ac:dyDescent="0.25">
      <c r="A150" t="s">
        <v>32</v>
      </c>
      <c r="B150">
        <v>2019</v>
      </c>
      <c r="C150">
        <v>5</v>
      </c>
      <c r="D150" s="13">
        <f t="shared" si="10"/>
        <v>43586</v>
      </c>
      <c r="E150">
        <v>140.4</v>
      </c>
      <c r="F150">
        <v>156.69999999999999</v>
      </c>
      <c r="G150">
        <v>138.30000000000001</v>
      </c>
      <c r="H150">
        <v>142.4</v>
      </c>
      <c r="I150">
        <v>118.6</v>
      </c>
      <c r="J150">
        <v>149.69999999999999</v>
      </c>
      <c r="K150">
        <v>161.6</v>
      </c>
      <c r="L150">
        <v>124.4</v>
      </c>
      <c r="M150">
        <v>111.2</v>
      </c>
      <c r="N150">
        <v>141</v>
      </c>
      <c r="O150">
        <v>128.9</v>
      </c>
      <c r="P150">
        <v>154.5</v>
      </c>
      <c r="Q150">
        <v>143.80000000000001</v>
      </c>
      <c r="R150" s="12">
        <f t="shared" si="11"/>
        <v>3.3045977011494421E-2</v>
      </c>
      <c r="S150">
        <v>166.2</v>
      </c>
      <c r="T150">
        <v>144</v>
      </c>
      <c r="U150">
        <v>131.69999999999999</v>
      </c>
      <c r="V150">
        <v>142.19999999999999</v>
      </c>
      <c r="W150">
        <v>150.1</v>
      </c>
      <c r="X150">
        <v>129.4</v>
      </c>
      <c r="Y150" s="12">
        <f t="shared" si="12"/>
        <v>-0.1191286589516678</v>
      </c>
      <c r="Z150">
        <v>137.19999999999999</v>
      </c>
      <c r="AA150">
        <v>139.80000000000001</v>
      </c>
      <c r="AB150" s="12">
        <f t="shared" si="13"/>
        <v>-7.6007931262392595E-2</v>
      </c>
      <c r="AC150">
        <v>120.1</v>
      </c>
      <c r="AD150">
        <v>134</v>
      </c>
      <c r="AE150">
        <v>148</v>
      </c>
      <c r="AF150">
        <v>132.6</v>
      </c>
      <c r="AG150">
        <v>133.30000000000001</v>
      </c>
      <c r="AH150">
        <v>141.5</v>
      </c>
      <c r="AI150" t="str">
        <f t="shared" si="14"/>
        <v>No</v>
      </c>
    </row>
    <row r="151" spans="1:35" x14ac:dyDescent="0.25">
      <c r="A151" t="s">
        <v>33</v>
      </c>
      <c r="B151">
        <v>2019</v>
      </c>
      <c r="C151">
        <v>5</v>
      </c>
      <c r="D151" s="13">
        <f t="shared" si="10"/>
        <v>43586</v>
      </c>
      <c r="E151">
        <v>138.30000000000001</v>
      </c>
      <c r="F151">
        <v>158.5</v>
      </c>
      <c r="G151">
        <v>136</v>
      </c>
      <c r="H151">
        <v>142.5</v>
      </c>
      <c r="I151">
        <v>122</v>
      </c>
      <c r="J151">
        <v>146.5</v>
      </c>
      <c r="K151">
        <v>143</v>
      </c>
      <c r="L151">
        <v>124.9</v>
      </c>
      <c r="M151">
        <v>109.9</v>
      </c>
      <c r="N151">
        <v>139.9</v>
      </c>
      <c r="O151">
        <v>134</v>
      </c>
      <c r="P151">
        <v>155.5</v>
      </c>
      <c r="Q151">
        <v>140.9</v>
      </c>
      <c r="R151" s="12">
        <f t="shared" si="11"/>
        <v>-2.0166898470097394E-2</v>
      </c>
      <c r="S151">
        <v>164.1</v>
      </c>
      <c r="T151">
        <v>148.4</v>
      </c>
      <c r="U151">
        <v>140.4</v>
      </c>
      <c r="V151">
        <v>147.30000000000001</v>
      </c>
      <c r="W151">
        <v>150.1</v>
      </c>
      <c r="X151">
        <v>140.30000000000001</v>
      </c>
      <c r="Y151" s="12">
        <f t="shared" si="12"/>
        <v>8.4234930448222611E-2</v>
      </c>
      <c r="Z151">
        <v>143.69999999999999</v>
      </c>
      <c r="AA151">
        <v>146.9</v>
      </c>
      <c r="AB151" s="12">
        <f t="shared" si="13"/>
        <v>5.0786838340486362E-2</v>
      </c>
      <c r="AC151">
        <v>124.9</v>
      </c>
      <c r="AD151">
        <v>139.19999999999999</v>
      </c>
      <c r="AE151">
        <v>151.6</v>
      </c>
      <c r="AF151">
        <v>133.4</v>
      </c>
      <c r="AG151">
        <v>138.19999999999999</v>
      </c>
      <c r="AH151">
        <v>142</v>
      </c>
      <c r="AI151" t="str">
        <f t="shared" si="14"/>
        <v>No</v>
      </c>
    </row>
    <row r="152" spans="1:35" x14ac:dyDescent="0.25">
      <c r="A152" t="s">
        <v>30</v>
      </c>
      <c r="B152">
        <v>2020</v>
      </c>
      <c r="C152">
        <v>5</v>
      </c>
      <c r="D152" s="13">
        <f t="shared" si="10"/>
        <v>43952</v>
      </c>
      <c r="E152">
        <v>144.9</v>
      </c>
      <c r="F152">
        <v>167.2</v>
      </c>
      <c r="G152">
        <v>149.69999999999999</v>
      </c>
      <c r="H152">
        <v>152.19999999999999</v>
      </c>
      <c r="I152">
        <v>134</v>
      </c>
      <c r="J152">
        <v>143</v>
      </c>
      <c r="K152">
        <v>167.9</v>
      </c>
      <c r="L152">
        <v>143.69999999999999</v>
      </c>
      <c r="M152">
        <v>114.8</v>
      </c>
      <c r="N152">
        <v>154.30000000000001</v>
      </c>
      <c r="O152">
        <v>139.80000000000001</v>
      </c>
      <c r="P152">
        <v>159.30000000000001</v>
      </c>
      <c r="Q152">
        <v>150.30000000000001</v>
      </c>
      <c r="R152" s="12">
        <f t="shared" si="11"/>
        <v>6.6713981547196627E-2</v>
      </c>
      <c r="S152">
        <v>169.5</v>
      </c>
      <c r="T152">
        <v>153.1</v>
      </c>
      <c r="U152">
        <v>147.5</v>
      </c>
      <c r="V152">
        <v>152.30000000000001</v>
      </c>
      <c r="W152" t="s">
        <v>31</v>
      </c>
      <c r="X152">
        <v>151.1</v>
      </c>
      <c r="Y152" s="12">
        <f t="shared" si="12"/>
        <v>7.6977904490377641E-2</v>
      </c>
      <c r="Z152">
        <v>151.69999999999999</v>
      </c>
      <c r="AA152">
        <v>155.69999999999999</v>
      </c>
      <c r="AB152" s="12">
        <f t="shared" si="13"/>
        <v>5.9904697072838548E-2</v>
      </c>
      <c r="AC152">
        <v>136</v>
      </c>
      <c r="AD152">
        <v>150.6</v>
      </c>
      <c r="AE152">
        <v>161.6</v>
      </c>
      <c r="AF152">
        <v>143.69999999999999</v>
      </c>
      <c r="AG152">
        <v>148.4</v>
      </c>
      <c r="AH152">
        <v>150.69999999999999</v>
      </c>
      <c r="AI152" t="str">
        <f t="shared" si="14"/>
        <v>No</v>
      </c>
    </row>
    <row r="153" spans="1:35" x14ac:dyDescent="0.25">
      <c r="A153" t="s">
        <v>32</v>
      </c>
      <c r="B153">
        <v>2020</v>
      </c>
      <c r="C153">
        <v>5</v>
      </c>
      <c r="D153" s="13">
        <f t="shared" si="10"/>
        <v>43952</v>
      </c>
      <c r="E153">
        <v>147.5</v>
      </c>
      <c r="F153">
        <v>167.6</v>
      </c>
      <c r="G153">
        <v>152.69999999999999</v>
      </c>
      <c r="H153">
        <v>151.69999999999999</v>
      </c>
      <c r="I153">
        <v>128.19999999999999</v>
      </c>
      <c r="J153">
        <v>145.9</v>
      </c>
      <c r="K153">
        <v>184.1</v>
      </c>
      <c r="L153">
        <v>142.30000000000001</v>
      </c>
      <c r="M153">
        <v>116.3</v>
      </c>
      <c r="N153">
        <v>151.4</v>
      </c>
      <c r="O153">
        <v>132</v>
      </c>
      <c r="P153">
        <v>158.9</v>
      </c>
      <c r="Q153">
        <v>152.4</v>
      </c>
      <c r="R153" s="12">
        <f t="shared" si="11"/>
        <v>1.3972055888223514E-2</v>
      </c>
      <c r="S153">
        <v>172</v>
      </c>
      <c r="T153">
        <v>147.30000000000001</v>
      </c>
      <c r="U153">
        <v>133.5</v>
      </c>
      <c r="V153">
        <v>145.19999999999999</v>
      </c>
      <c r="W153">
        <v>154.69999999999999</v>
      </c>
      <c r="X153">
        <v>138.1</v>
      </c>
      <c r="Y153" s="12">
        <f t="shared" si="12"/>
        <v>-8.6035737921906025E-2</v>
      </c>
      <c r="Z153">
        <v>140.4</v>
      </c>
      <c r="AA153">
        <v>144.5</v>
      </c>
      <c r="AB153" s="12">
        <f t="shared" si="13"/>
        <v>-7.1933204881181698E-2</v>
      </c>
      <c r="AC153">
        <v>125.3</v>
      </c>
      <c r="AD153">
        <v>137.6</v>
      </c>
      <c r="AE153">
        <v>152.30000000000001</v>
      </c>
      <c r="AF153">
        <v>143.6</v>
      </c>
      <c r="AG153">
        <v>138.5</v>
      </c>
      <c r="AH153">
        <v>147.69999999999999</v>
      </c>
      <c r="AI153" t="str">
        <f t="shared" si="14"/>
        <v>No</v>
      </c>
    </row>
    <row r="154" spans="1:35" x14ac:dyDescent="0.25">
      <c r="A154" t="s">
        <v>33</v>
      </c>
      <c r="B154">
        <v>2020</v>
      </c>
      <c r="C154">
        <v>5</v>
      </c>
      <c r="D154" s="13">
        <f t="shared" si="10"/>
        <v>43952</v>
      </c>
      <c r="E154">
        <v>145.69999999999999</v>
      </c>
      <c r="F154">
        <v>167.3</v>
      </c>
      <c r="G154">
        <v>150.9</v>
      </c>
      <c r="H154">
        <v>152</v>
      </c>
      <c r="I154">
        <v>131.9</v>
      </c>
      <c r="J154">
        <v>144.4</v>
      </c>
      <c r="K154">
        <v>173.4</v>
      </c>
      <c r="L154">
        <v>143.30000000000001</v>
      </c>
      <c r="M154">
        <v>115.3</v>
      </c>
      <c r="N154">
        <v>153.30000000000001</v>
      </c>
      <c r="O154">
        <v>136.5</v>
      </c>
      <c r="P154">
        <v>159.1</v>
      </c>
      <c r="Q154">
        <v>151.1</v>
      </c>
      <c r="R154" s="12">
        <f t="shared" si="11"/>
        <v>-8.5301837270341952E-3</v>
      </c>
      <c r="S154">
        <v>170.2</v>
      </c>
      <c r="T154">
        <v>150.80000000000001</v>
      </c>
      <c r="U154">
        <v>141.69999999999999</v>
      </c>
      <c r="V154">
        <v>149.5</v>
      </c>
      <c r="W154">
        <v>154.69999999999999</v>
      </c>
      <c r="X154">
        <v>146.19999999999999</v>
      </c>
      <c r="Y154" s="12">
        <f t="shared" si="12"/>
        <v>5.8653149891383018E-2</v>
      </c>
      <c r="Z154">
        <v>146.30000000000001</v>
      </c>
      <c r="AA154">
        <v>151.5</v>
      </c>
      <c r="AB154" s="12">
        <f t="shared" si="13"/>
        <v>4.8442906574394463E-2</v>
      </c>
      <c r="AC154">
        <v>130.4</v>
      </c>
      <c r="AD154">
        <v>143.19999999999999</v>
      </c>
      <c r="AE154">
        <v>156.1</v>
      </c>
      <c r="AF154">
        <v>143.6</v>
      </c>
      <c r="AG154">
        <v>143.6</v>
      </c>
      <c r="AH154">
        <v>149.30000000000001</v>
      </c>
      <c r="AI154" t="str">
        <f t="shared" si="14"/>
        <v>No</v>
      </c>
    </row>
    <row r="155" spans="1:35" x14ac:dyDescent="0.25">
      <c r="A155" t="s">
        <v>30</v>
      </c>
      <c r="B155">
        <v>2021</v>
      </c>
      <c r="C155">
        <v>5</v>
      </c>
      <c r="D155" s="13">
        <f t="shared" si="10"/>
        <v>44317</v>
      </c>
      <c r="E155">
        <v>145.1</v>
      </c>
      <c r="F155">
        <v>198.5</v>
      </c>
      <c r="G155">
        <v>168.6</v>
      </c>
      <c r="H155">
        <v>155.80000000000001</v>
      </c>
      <c r="I155">
        <v>184.4</v>
      </c>
      <c r="J155">
        <v>162.30000000000001</v>
      </c>
      <c r="K155">
        <v>138.4</v>
      </c>
      <c r="L155">
        <v>165.1</v>
      </c>
      <c r="M155">
        <v>114.3</v>
      </c>
      <c r="N155">
        <v>169.7</v>
      </c>
      <c r="O155">
        <v>164.6</v>
      </c>
      <c r="P155">
        <v>169.8</v>
      </c>
      <c r="Q155">
        <v>158.69999999999999</v>
      </c>
      <c r="R155" s="12">
        <f t="shared" si="11"/>
        <v>5.0297816015883484E-2</v>
      </c>
      <c r="S155">
        <v>189.6</v>
      </c>
      <c r="T155">
        <v>165.3</v>
      </c>
      <c r="U155">
        <v>160.6</v>
      </c>
      <c r="V155">
        <v>164.5</v>
      </c>
      <c r="W155" t="s">
        <v>31</v>
      </c>
      <c r="X155">
        <v>161.69999999999999</v>
      </c>
      <c r="Y155" s="12">
        <f t="shared" si="12"/>
        <v>0.10601915184678523</v>
      </c>
      <c r="Z155">
        <v>158.80000000000001</v>
      </c>
      <c r="AA155">
        <v>169.1</v>
      </c>
      <c r="AB155" s="12">
        <f t="shared" si="13"/>
        <v>0.11617161716171613</v>
      </c>
      <c r="AC155">
        <v>153.19999999999999</v>
      </c>
      <c r="AD155">
        <v>160</v>
      </c>
      <c r="AE155">
        <v>167.6</v>
      </c>
      <c r="AF155">
        <v>159.30000000000001</v>
      </c>
      <c r="AG155">
        <v>161.1</v>
      </c>
      <c r="AH155">
        <v>161.1</v>
      </c>
      <c r="AI155" t="str">
        <f t="shared" si="14"/>
        <v>No</v>
      </c>
    </row>
    <row r="156" spans="1:35" x14ac:dyDescent="0.25">
      <c r="A156" t="s">
        <v>32</v>
      </c>
      <c r="B156">
        <v>2021</v>
      </c>
      <c r="C156">
        <v>5</v>
      </c>
      <c r="D156" s="13">
        <f t="shared" si="10"/>
        <v>44317</v>
      </c>
      <c r="E156">
        <v>148.80000000000001</v>
      </c>
      <c r="F156">
        <v>204.3</v>
      </c>
      <c r="G156">
        <v>173</v>
      </c>
      <c r="H156">
        <v>156.5</v>
      </c>
      <c r="I156">
        <v>168.8</v>
      </c>
      <c r="J156">
        <v>172.5</v>
      </c>
      <c r="K156">
        <v>166.5</v>
      </c>
      <c r="L156">
        <v>165.9</v>
      </c>
      <c r="M156">
        <v>115.9</v>
      </c>
      <c r="N156">
        <v>165.2</v>
      </c>
      <c r="O156">
        <v>152</v>
      </c>
      <c r="P156">
        <v>171.1</v>
      </c>
      <c r="Q156">
        <v>164.2</v>
      </c>
      <c r="R156" s="12">
        <f t="shared" si="11"/>
        <v>3.4656584751102712E-2</v>
      </c>
      <c r="S156">
        <v>198.2</v>
      </c>
      <c r="T156">
        <v>156.5</v>
      </c>
      <c r="U156">
        <v>140.19999999999999</v>
      </c>
      <c r="V156">
        <v>154.1</v>
      </c>
      <c r="W156">
        <v>161.6</v>
      </c>
      <c r="X156">
        <v>155.5</v>
      </c>
      <c r="Y156" s="12">
        <f t="shared" si="12"/>
        <v>-3.8342609771181133E-2</v>
      </c>
      <c r="Z156">
        <v>150.1</v>
      </c>
      <c r="AA156">
        <v>160.4</v>
      </c>
      <c r="AB156" s="12">
        <f t="shared" si="13"/>
        <v>-5.1448846836191539E-2</v>
      </c>
      <c r="AC156">
        <v>145</v>
      </c>
      <c r="AD156">
        <v>152.6</v>
      </c>
      <c r="AE156">
        <v>156.6</v>
      </c>
      <c r="AF156">
        <v>157.5</v>
      </c>
      <c r="AG156">
        <v>152.30000000000001</v>
      </c>
      <c r="AH156">
        <v>159.5</v>
      </c>
      <c r="AI156" t="str">
        <f t="shared" si="14"/>
        <v>Yes</v>
      </c>
    </row>
    <row r="157" spans="1:35" x14ac:dyDescent="0.25">
      <c r="A157" t="s">
        <v>33</v>
      </c>
      <c r="B157">
        <v>2021</v>
      </c>
      <c r="C157">
        <v>5</v>
      </c>
      <c r="D157" s="13">
        <f t="shared" si="10"/>
        <v>44317</v>
      </c>
      <c r="E157">
        <v>146.30000000000001</v>
      </c>
      <c r="F157">
        <v>200.5</v>
      </c>
      <c r="G157">
        <v>170.3</v>
      </c>
      <c r="H157">
        <v>156.1</v>
      </c>
      <c r="I157">
        <v>178.7</v>
      </c>
      <c r="J157">
        <v>167.1</v>
      </c>
      <c r="K157">
        <v>147.9</v>
      </c>
      <c r="L157">
        <v>165.4</v>
      </c>
      <c r="M157">
        <v>114.8</v>
      </c>
      <c r="N157">
        <v>168.2</v>
      </c>
      <c r="O157">
        <v>159.30000000000001</v>
      </c>
      <c r="P157">
        <v>170.4</v>
      </c>
      <c r="Q157">
        <v>160.69999999999999</v>
      </c>
      <c r="R157" s="12">
        <f t="shared" si="11"/>
        <v>-2.131546894031669E-2</v>
      </c>
      <c r="S157">
        <v>191.9</v>
      </c>
      <c r="T157">
        <v>161.80000000000001</v>
      </c>
      <c r="U157">
        <v>152.1</v>
      </c>
      <c r="V157">
        <v>160.4</v>
      </c>
      <c r="W157">
        <v>161.6</v>
      </c>
      <c r="X157">
        <v>159.4</v>
      </c>
      <c r="Y157" s="12">
        <f t="shared" si="12"/>
        <v>2.5080385852090069E-2</v>
      </c>
      <c r="Z157">
        <v>154.69999999999999</v>
      </c>
      <c r="AA157">
        <v>165.8</v>
      </c>
      <c r="AB157" s="12">
        <f t="shared" si="13"/>
        <v>3.3665835411471355E-2</v>
      </c>
      <c r="AC157">
        <v>148.9</v>
      </c>
      <c r="AD157">
        <v>155.80000000000001</v>
      </c>
      <c r="AE157">
        <v>161.19999999999999</v>
      </c>
      <c r="AF157">
        <v>158.6</v>
      </c>
      <c r="AG157">
        <v>156.80000000000001</v>
      </c>
      <c r="AH157">
        <v>160.4</v>
      </c>
      <c r="AI157" t="str">
        <f t="shared" si="14"/>
        <v>No</v>
      </c>
    </row>
    <row r="158" spans="1:35" x14ac:dyDescent="0.25">
      <c r="A158" t="s">
        <v>30</v>
      </c>
      <c r="B158">
        <v>2022</v>
      </c>
      <c r="C158">
        <v>5</v>
      </c>
      <c r="D158" s="13">
        <f t="shared" si="10"/>
        <v>44682</v>
      </c>
      <c r="E158">
        <v>152.9</v>
      </c>
      <c r="F158">
        <v>214.7</v>
      </c>
      <c r="G158">
        <v>161.4</v>
      </c>
      <c r="H158">
        <v>164.6</v>
      </c>
      <c r="I158">
        <v>209.9</v>
      </c>
      <c r="J158">
        <v>168</v>
      </c>
      <c r="K158">
        <v>160.4</v>
      </c>
      <c r="L158">
        <v>165</v>
      </c>
      <c r="M158">
        <v>118.9</v>
      </c>
      <c r="N158">
        <v>186.6</v>
      </c>
      <c r="O158">
        <v>173.2</v>
      </c>
      <c r="P158">
        <v>180.4</v>
      </c>
      <c r="Q158">
        <v>170.8</v>
      </c>
      <c r="R158" s="12">
        <f t="shared" si="11"/>
        <v>6.2850031113876936E-2</v>
      </c>
      <c r="S158">
        <v>192.9</v>
      </c>
      <c r="T158">
        <v>179.3</v>
      </c>
      <c r="U158">
        <v>177.2</v>
      </c>
      <c r="V158">
        <v>179</v>
      </c>
      <c r="W158" t="s">
        <v>31</v>
      </c>
      <c r="X158">
        <v>175.3</v>
      </c>
      <c r="Y158" s="12">
        <f t="shared" si="12"/>
        <v>9.9749058971141807E-2</v>
      </c>
      <c r="Z158">
        <v>168.9</v>
      </c>
      <c r="AA158">
        <v>177.7</v>
      </c>
      <c r="AB158" s="12">
        <f t="shared" si="13"/>
        <v>7.1773220747888875E-2</v>
      </c>
      <c r="AC158">
        <v>167.1</v>
      </c>
      <c r="AD158">
        <v>167.6</v>
      </c>
      <c r="AE158">
        <v>171.8</v>
      </c>
      <c r="AF158">
        <v>168.5</v>
      </c>
      <c r="AG158">
        <v>170.9</v>
      </c>
      <c r="AH158">
        <v>172.5</v>
      </c>
      <c r="AI158" t="str">
        <f t="shared" si="14"/>
        <v>Yes</v>
      </c>
    </row>
    <row r="159" spans="1:35" x14ac:dyDescent="0.25">
      <c r="A159" t="s">
        <v>32</v>
      </c>
      <c r="B159">
        <v>2022</v>
      </c>
      <c r="C159">
        <v>5</v>
      </c>
      <c r="D159" s="13">
        <f t="shared" si="10"/>
        <v>44682</v>
      </c>
      <c r="E159">
        <v>156.69999999999999</v>
      </c>
      <c r="F159">
        <v>221.2</v>
      </c>
      <c r="G159">
        <v>164.1</v>
      </c>
      <c r="H159">
        <v>165.4</v>
      </c>
      <c r="I159">
        <v>189.5</v>
      </c>
      <c r="J159">
        <v>174.5</v>
      </c>
      <c r="K159">
        <v>203.2</v>
      </c>
      <c r="L159">
        <v>164.1</v>
      </c>
      <c r="M159">
        <v>121.2</v>
      </c>
      <c r="N159">
        <v>181.4</v>
      </c>
      <c r="O159">
        <v>158.5</v>
      </c>
      <c r="P159">
        <v>184.9</v>
      </c>
      <c r="Q159">
        <v>177.5</v>
      </c>
      <c r="R159" s="12">
        <f t="shared" si="11"/>
        <v>3.9227166276346537E-2</v>
      </c>
      <c r="S159">
        <v>197.5</v>
      </c>
      <c r="T159">
        <v>170</v>
      </c>
      <c r="U159">
        <v>155.9</v>
      </c>
      <c r="V159">
        <v>167.8</v>
      </c>
      <c r="W159">
        <v>167.5</v>
      </c>
      <c r="X159">
        <v>173.5</v>
      </c>
      <c r="Y159" s="12">
        <f t="shared" si="12"/>
        <v>-1.0268111808328644E-2</v>
      </c>
      <c r="Z159">
        <v>161.1</v>
      </c>
      <c r="AA159">
        <v>170.1</v>
      </c>
      <c r="AB159" s="12">
        <f t="shared" si="13"/>
        <v>-4.2768711311198623E-2</v>
      </c>
      <c r="AC159">
        <v>159.4</v>
      </c>
      <c r="AD159">
        <v>163.19999999999999</v>
      </c>
      <c r="AE159">
        <v>165.2</v>
      </c>
      <c r="AF159">
        <v>168.2</v>
      </c>
      <c r="AG159">
        <v>163.80000000000001</v>
      </c>
      <c r="AH159">
        <v>170.8</v>
      </c>
      <c r="AI159" t="str">
        <f t="shared" si="14"/>
        <v>Yes</v>
      </c>
    </row>
    <row r="160" spans="1:35" x14ac:dyDescent="0.25">
      <c r="A160" t="s">
        <v>33</v>
      </c>
      <c r="B160">
        <v>2022</v>
      </c>
      <c r="C160">
        <v>5</v>
      </c>
      <c r="D160" s="13">
        <f t="shared" si="10"/>
        <v>44682</v>
      </c>
      <c r="E160">
        <v>154.1</v>
      </c>
      <c r="F160">
        <v>217</v>
      </c>
      <c r="G160">
        <v>162.4</v>
      </c>
      <c r="H160">
        <v>164.9</v>
      </c>
      <c r="I160">
        <v>202.4</v>
      </c>
      <c r="J160">
        <v>171</v>
      </c>
      <c r="K160">
        <v>174.9</v>
      </c>
      <c r="L160">
        <v>164.7</v>
      </c>
      <c r="M160">
        <v>119.7</v>
      </c>
      <c r="N160">
        <v>184.9</v>
      </c>
      <c r="O160">
        <v>167.1</v>
      </c>
      <c r="P160">
        <v>182.5</v>
      </c>
      <c r="Q160">
        <v>173.3</v>
      </c>
      <c r="R160" s="12">
        <f t="shared" si="11"/>
        <v>-2.366197183098585E-2</v>
      </c>
      <c r="S160">
        <v>194.1</v>
      </c>
      <c r="T160">
        <v>175.6</v>
      </c>
      <c r="U160">
        <v>168.4</v>
      </c>
      <c r="V160">
        <v>174.6</v>
      </c>
      <c r="W160">
        <v>167.5</v>
      </c>
      <c r="X160">
        <v>174.6</v>
      </c>
      <c r="Y160" s="12">
        <f t="shared" si="12"/>
        <v>6.3400576368875753E-3</v>
      </c>
      <c r="Z160">
        <v>165.2</v>
      </c>
      <c r="AA160">
        <v>174.8</v>
      </c>
      <c r="AB160" s="12">
        <f t="shared" si="13"/>
        <v>2.7630805408583287E-2</v>
      </c>
      <c r="AC160">
        <v>163</v>
      </c>
      <c r="AD160">
        <v>165.1</v>
      </c>
      <c r="AE160">
        <v>167.9</v>
      </c>
      <c r="AF160">
        <v>168.4</v>
      </c>
      <c r="AG160">
        <v>167.5</v>
      </c>
      <c r="AH160">
        <v>171.7</v>
      </c>
      <c r="AI160" t="str">
        <f t="shared" si="14"/>
        <v>Yes</v>
      </c>
    </row>
    <row r="161" spans="1:35" x14ac:dyDescent="0.25">
      <c r="A161" t="s">
        <v>30</v>
      </c>
      <c r="B161">
        <v>2023</v>
      </c>
      <c r="C161">
        <v>5</v>
      </c>
      <c r="D161" s="13">
        <f t="shared" si="10"/>
        <v>45047</v>
      </c>
      <c r="E161">
        <v>173.2</v>
      </c>
      <c r="F161">
        <v>211.5</v>
      </c>
      <c r="G161">
        <v>171</v>
      </c>
      <c r="H161">
        <v>179.6</v>
      </c>
      <c r="I161">
        <v>173.3</v>
      </c>
      <c r="J161">
        <v>169</v>
      </c>
      <c r="K161">
        <v>148.69999999999999</v>
      </c>
      <c r="L161">
        <v>174.9</v>
      </c>
      <c r="M161">
        <v>121.9</v>
      </c>
      <c r="N161">
        <v>221</v>
      </c>
      <c r="O161">
        <v>178.7</v>
      </c>
      <c r="P161">
        <v>191.1</v>
      </c>
      <c r="Q161">
        <v>176.8</v>
      </c>
      <c r="R161" s="12">
        <f t="shared" si="11"/>
        <v>2.0196191575302943E-2</v>
      </c>
      <c r="S161">
        <v>199.9</v>
      </c>
      <c r="T161">
        <v>191.2</v>
      </c>
      <c r="U161">
        <v>187.9</v>
      </c>
      <c r="V161">
        <v>190.8</v>
      </c>
      <c r="W161" t="s">
        <v>31</v>
      </c>
      <c r="X161">
        <v>182.5</v>
      </c>
      <c r="Y161" s="12">
        <f t="shared" si="12"/>
        <v>4.5246277205040125E-2</v>
      </c>
      <c r="Z161">
        <v>179.8</v>
      </c>
      <c r="AA161">
        <v>187.8</v>
      </c>
      <c r="AB161" s="12">
        <f t="shared" si="13"/>
        <v>7.4370709382151026E-2</v>
      </c>
      <c r="AC161">
        <v>169.7</v>
      </c>
      <c r="AD161">
        <v>173.8</v>
      </c>
      <c r="AE161">
        <v>180.3</v>
      </c>
      <c r="AF161">
        <v>184.9</v>
      </c>
      <c r="AG161">
        <v>179.5</v>
      </c>
      <c r="AH161">
        <v>179.8</v>
      </c>
      <c r="AI161" t="str">
        <f t="shared" si="14"/>
        <v>No</v>
      </c>
    </row>
    <row r="162" spans="1:35" x14ac:dyDescent="0.25">
      <c r="A162" t="s">
        <v>32</v>
      </c>
      <c r="B162">
        <v>2023</v>
      </c>
      <c r="C162">
        <v>5</v>
      </c>
      <c r="D162" s="13">
        <f t="shared" si="10"/>
        <v>45047</v>
      </c>
      <c r="E162">
        <v>174.7</v>
      </c>
      <c r="F162">
        <v>219.4</v>
      </c>
      <c r="G162">
        <v>176.7</v>
      </c>
      <c r="H162">
        <v>179.4</v>
      </c>
      <c r="I162">
        <v>164.4</v>
      </c>
      <c r="J162">
        <v>175.8</v>
      </c>
      <c r="K162">
        <v>185</v>
      </c>
      <c r="L162">
        <v>176.9</v>
      </c>
      <c r="M162">
        <v>124.2</v>
      </c>
      <c r="N162">
        <v>211.9</v>
      </c>
      <c r="O162">
        <v>165.9</v>
      </c>
      <c r="P162">
        <v>197.7</v>
      </c>
      <c r="Q162">
        <v>183.1</v>
      </c>
      <c r="R162" s="12">
        <f t="shared" si="11"/>
        <v>3.5633484162895829E-2</v>
      </c>
      <c r="S162">
        <v>204.2</v>
      </c>
      <c r="T162">
        <v>181.3</v>
      </c>
      <c r="U162">
        <v>168.1</v>
      </c>
      <c r="V162">
        <v>179.3</v>
      </c>
      <c r="W162">
        <v>175.6</v>
      </c>
      <c r="X162">
        <v>183.4</v>
      </c>
      <c r="Y162" s="12">
        <f t="shared" si="12"/>
        <v>4.9315068493150996E-3</v>
      </c>
      <c r="Z162">
        <v>170.1</v>
      </c>
      <c r="AA162">
        <v>182.2</v>
      </c>
      <c r="AB162" s="12">
        <f t="shared" si="13"/>
        <v>-2.9818956336528341E-2</v>
      </c>
      <c r="AC162">
        <v>160.4</v>
      </c>
      <c r="AD162">
        <v>169.2</v>
      </c>
      <c r="AE162">
        <v>174.8</v>
      </c>
      <c r="AF162">
        <v>185.6</v>
      </c>
      <c r="AG162">
        <v>171.6</v>
      </c>
      <c r="AH162">
        <v>178.2</v>
      </c>
      <c r="AI162" t="str">
        <f t="shared" si="14"/>
        <v>Yes</v>
      </c>
    </row>
    <row r="163" spans="1:35" x14ac:dyDescent="0.25">
      <c r="A163" t="s">
        <v>33</v>
      </c>
      <c r="B163">
        <v>2023</v>
      </c>
      <c r="C163">
        <v>5</v>
      </c>
      <c r="D163" s="13">
        <f t="shared" si="10"/>
        <v>45047</v>
      </c>
      <c r="E163">
        <v>173.7</v>
      </c>
      <c r="F163">
        <v>214.3</v>
      </c>
      <c r="G163">
        <v>173.2</v>
      </c>
      <c r="H163">
        <v>179.5</v>
      </c>
      <c r="I163">
        <v>170</v>
      </c>
      <c r="J163">
        <v>172.2</v>
      </c>
      <c r="K163">
        <v>161</v>
      </c>
      <c r="L163">
        <v>175.6</v>
      </c>
      <c r="M163">
        <v>122.7</v>
      </c>
      <c r="N163">
        <v>218</v>
      </c>
      <c r="O163">
        <v>173.4</v>
      </c>
      <c r="P163">
        <v>194.2</v>
      </c>
      <c r="Q163">
        <v>179.1</v>
      </c>
      <c r="R163" s="12">
        <f t="shared" si="11"/>
        <v>-2.1845985800109231E-2</v>
      </c>
      <c r="S163">
        <v>201</v>
      </c>
      <c r="T163">
        <v>187.3</v>
      </c>
      <c r="U163">
        <v>179.7</v>
      </c>
      <c r="V163">
        <v>186.2</v>
      </c>
      <c r="W163">
        <v>175.6</v>
      </c>
      <c r="X163">
        <v>182.8</v>
      </c>
      <c r="Y163" s="12">
        <f t="shared" si="12"/>
        <v>-3.2715376226826296E-3</v>
      </c>
      <c r="Z163">
        <v>175.2</v>
      </c>
      <c r="AA163">
        <v>185.7</v>
      </c>
      <c r="AB163" s="12">
        <f t="shared" si="13"/>
        <v>1.9209659714599342E-2</v>
      </c>
      <c r="AC163">
        <v>164.8</v>
      </c>
      <c r="AD163">
        <v>171.2</v>
      </c>
      <c r="AE163">
        <v>177.1</v>
      </c>
      <c r="AF163">
        <v>185.2</v>
      </c>
      <c r="AG163">
        <v>175.7</v>
      </c>
      <c r="AH163">
        <v>179.1</v>
      </c>
      <c r="AI163" t="str">
        <f t="shared" si="14"/>
        <v>Yes</v>
      </c>
    </row>
    <row r="164" spans="1:35" x14ac:dyDescent="0.25">
      <c r="A164" t="s">
        <v>30</v>
      </c>
      <c r="B164">
        <v>2013</v>
      </c>
      <c r="C164">
        <v>6</v>
      </c>
      <c r="D164" s="13">
        <f t="shared" si="10"/>
        <v>41426</v>
      </c>
      <c r="E164">
        <v>112.3</v>
      </c>
      <c r="F164">
        <v>112.1</v>
      </c>
      <c r="G164">
        <v>108.1</v>
      </c>
      <c r="H164">
        <v>108.3</v>
      </c>
      <c r="I164">
        <v>105.9</v>
      </c>
      <c r="J164">
        <v>109.2</v>
      </c>
      <c r="K164">
        <v>118</v>
      </c>
      <c r="L164">
        <v>106.8</v>
      </c>
      <c r="M164">
        <v>104.1</v>
      </c>
      <c r="N164">
        <v>105.4</v>
      </c>
      <c r="O164">
        <v>108.2</v>
      </c>
      <c r="P164">
        <v>111</v>
      </c>
      <c r="Q164">
        <v>110.6</v>
      </c>
      <c r="R164" s="12">
        <f t="shared" si="11"/>
        <v>-0.3824678950307091</v>
      </c>
      <c r="S164">
        <v>109</v>
      </c>
      <c r="T164">
        <v>109.7</v>
      </c>
      <c r="U164">
        <v>108.8</v>
      </c>
      <c r="V164">
        <v>109.5</v>
      </c>
      <c r="W164" t="s">
        <v>31</v>
      </c>
      <c r="X164">
        <v>108.5</v>
      </c>
      <c r="Y164" s="12">
        <f t="shared" si="12"/>
        <v>-0.40645514223194751</v>
      </c>
      <c r="Z164">
        <v>107.5</v>
      </c>
      <c r="AA164">
        <v>106.3</v>
      </c>
      <c r="AB164" s="12">
        <f t="shared" si="13"/>
        <v>-0.42757135164243404</v>
      </c>
      <c r="AC164">
        <v>105</v>
      </c>
      <c r="AD164">
        <v>105.6</v>
      </c>
      <c r="AE164">
        <v>106.5</v>
      </c>
      <c r="AF164">
        <v>102.5</v>
      </c>
      <c r="AG164">
        <v>105.5</v>
      </c>
      <c r="AH164">
        <v>108.9</v>
      </c>
      <c r="AI164" t="str">
        <f t="shared" si="14"/>
        <v>No</v>
      </c>
    </row>
    <row r="165" spans="1:35" x14ac:dyDescent="0.25">
      <c r="A165" t="s">
        <v>32</v>
      </c>
      <c r="B165">
        <v>2013</v>
      </c>
      <c r="C165">
        <v>6</v>
      </c>
      <c r="D165" s="13">
        <f t="shared" si="10"/>
        <v>41426</v>
      </c>
      <c r="E165">
        <v>117</v>
      </c>
      <c r="F165">
        <v>120.1</v>
      </c>
      <c r="G165">
        <v>112.5</v>
      </c>
      <c r="H165">
        <v>107.3</v>
      </c>
      <c r="I165">
        <v>101.3</v>
      </c>
      <c r="J165">
        <v>112.4</v>
      </c>
      <c r="K165">
        <v>143.6</v>
      </c>
      <c r="L165">
        <v>105.4</v>
      </c>
      <c r="M165">
        <v>101.4</v>
      </c>
      <c r="N165">
        <v>106.4</v>
      </c>
      <c r="O165">
        <v>110</v>
      </c>
      <c r="P165">
        <v>112.2</v>
      </c>
      <c r="Q165">
        <v>115</v>
      </c>
      <c r="R165" s="12">
        <f t="shared" si="11"/>
        <v>3.978300180831832E-2</v>
      </c>
      <c r="S165">
        <v>110.9</v>
      </c>
      <c r="T165">
        <v>109.2</v>
      </c>
      <c r="U165">
        <v>107.2</v>
      </c>
      <c r="V165">
        <v>108.9</v>
      </c>
      <c r="W165">
        <v>106.6</v>
      </c>
      <c r="X165">
        <v>108</v>
      </c>
      <c r="Y165" s="12">
        <f t="shared" si="12"/>
        <v>-4.608294930875576E-3</v>
      </c>
      <c r="Z165">
        <v>107.7</v>
      </c>
      <c r="AA165">
        <v>106.5</v>
      </c>
      <c r="AB165" s="12">
        <f t="shared" si="13"/>
        <v>1.8814675446848809E-3</v>
      </c>
      <c r="AC165">
        <v>105.2</v>
      </c>
      <c r="AD165">
        <v>105.2</v>
      </c>
      <c r="AE165">
        <v>108.1</v>
      </c>
      <c r="AF165">
        <v>103.3</v>
      </c>
      <c r="AG165">
        <v>106.1</v>
      </c>
      <c r="AH165">
        <v>109.7</v>
      </c>
      <c r="AI165" t="str">
        <f t="shared" si="14"/>
        <v>No</v>
      </c>
    </row>
    <row r="166" spans="1:35" x14ac:dyDescent="0.25">
      <c r="A166" t="s">
        <v>33</v>
      </c>
      <c r="B166">
        <v>2013</v>
      </c>
      <c r="C166">
        <v>6</v>
      </c>
      <c r="D166" s="13">
        <f t="shared" si="10"/>
        <v>41426</v>
      </c>
      <c r="E166">
        <v>113.8</v>
      </c>
      <c r="F166">
        <v>114.9</v>
      </c>
      <c r="G166">
        <v>109.8</v>
      </c>
      <c r="H166">
        <v>107.9</v>
      </c>
      <c r="I166">
        <v>104.2</v>
      </c>
      <c r="J166">
        <v>110.7</v>
      </c>
      <c r="K166">
        <v>126.7</v>
      </c>
      <c r="L166">
        <v>106.3</v>
      </c>
      <c r="M166">
        <v>103.2</v>
      </c>
      <c r="N166">
        <v>105.7</v>
      </c>
      <c r="O166">
        <v>109</v>
      </c>
      <c r="P166">
        <v>111.6</v>
      </c>
      <c r="Q166">
        <v>112.2</v>
      </c>
      <c r="R166" s="12">
        <f t="shared" si="11"/>
        <v>-2.4347826086956497E-2</v>
      </c>
      <c r="S166">
        <v>109.5</v>
      </c>
      <c r="T166">
        <v>109.5</v>
      </c>
      <c r="U166">
        <v>108.1</v>
      </c>
      <c r="V166">
        <v>109.3</v>
      </c>
      <c r="W166">
        <v>106.6</v>
      </c>
      <c r="X166">
        <v>108.3</v>
      </c>
      <c r="Y166" s="12">
        <f t="shared" si="12"/>
        <v>2.7777777777777514E-3</v>
      </c>
      <c r="Z166">
        <v>107.6</v>
      </c>
      <c r="AA166">
        <v>106.4</v>
      </c>
      <c r="AB166" s="12">
        <f t="shared" si="13"/>
        <v>-9.3896713615018138E-4</v>
      </c>
      <c r="AC166">
        <v>105.1</v>
      </c>
      <c r="AD166">
        <v>105.4</v>
      </c>
      <c r="AE166">
        <v>107.4</v>
      </c>
      <c r="AF166">
        <v>102.8</v>
      </c>
      <c r="AG166">
        <v>105.8</v>
      </c>
      <c r="AH166">
        <v>109.3</v>
      </c>
      <c r="AI166" t="str">
        <f t="shared" si="14"/>
        <v>No</v>
      </c>
    </row>
    <row r="167" spans="1:35" x14ac:dyDescent="0.25">
      <c r="A167" t="s">
        <v>30</v>
      </c>
      <c r="B167">
        <v>2014</v>
      </c>
      <c r="C167">
        <v>6</v>
      </c>
      <c r="D167" s="13">
        <f t="shared" si="10"/>
        <v>41791</v>
      </c>
      <c r="E167">
        <v>120.7</v>
      </c>
      <c r="F167">
        <v>121.6</v>
      </c>
      <c r="G167">
        <v>116.1</v>
      </c>
      <c r="H167">
        <v>119.3</v>
      </c>
      <c r="I167">
        <v>110.3</v>
      </c>
      <c r="J167">
        <v>125.8</v>
      </c>
      <c r="K167">
        <v>129.30000000000001</v>
      </c>
      <c r="L167">
        <v>112.2</v>
      </c>
      <c r="M167">
        <v>103.6</v>
      </c>
      <c r="N167">
        <v>112.3</v>
      </c>
      <c r="O167">
        <v>114.9</v>
      </c>
      <c r="P167">
        <v>120.1</v>
      </c>
      <c r="Q167">
        <v>119.5</v>
      </c>
      <c r="R167" s="12">
        <f t="shared" si="11"/>
        <v>6.506238859180033E-2</v>
      </c>
      <c r="S167">
        <v>117.3</v>
      </c>
      <c r="T167">
        <v>119.7</v>
      </c>
      <c r="U167">
        <v>117.3</v>
      </c>
      <c r="V167">
        <v>119.3</v>
      </c>
      <c r="W167" t="s">
        <v>31</v>
      </c>
      <c r="X167">
        <v>114.4</v>
      </c>
      <c r="Y167" s="12">
        <f t="shared" si="12"/>
        <v>5.6325023084025934E-2</v>
      </c>
      <c r="Z167">
        <v>114.9</v>
      </c>
      <c r="AA167">
        <v>112.8</v>
      </c>
      <c r="AB167" s="12">
        <f t="shared" si="13"/>
        <v>6.0150375939849537E-2</v>
      </c>
      <c r="AC167">
        <v>112.2</v>
      </c>
      <c r="AD167">
        <v>111.4</v>
      </c>
      <c r="AE167">
        <v>114.3</v>
      </c>
      <c r="AF167">
        <v>108</v>
      </c>
      <c r="AG167">
        <v>112.3</v>
      </c>
      <c r="AH167">
        <v>117</v>
      </c>
      <c r="AI167" t="str">
        <f t="shared" si="14"/>
        <v>No</v>
      </c>
    </row>
    <row r="168" spans="1:35" x14ac:dyDescent="0.25">
      <c r="A168" t="s">
        <v>32</v>
      </c>
      <c r="B168">
        <v>2014</v>
      </c>
      <c r="C168">
        <v>6</v>
      </c>
      <c r="D168" s="13">
        <f t="shared" si="10"/>
        <v>41791</v>
      </c>
      <c r="E168">
        <v>123.1</v>
      </c>
      <c r="F168">
        <v>125.9</v>
      </c>
      <c r="G168">
        <v>115.4</v>
      </c>
      <c r="H168">
        <v>120.4</v>
      </c>
      <c r="I168">
        <v>103.4</v>
      </c>
      <c r="J168">
        <v>131.19999999999999</v>
      </c>
      <c r="K168">
        <v>137.5</v>
      </c>
      <c r="L168">
        <v>112.8</v>
      </c>
      <c r="M168">
        <v>101.4</v>
      </c>
      <c r="N168">
        <v>118.3</v>
      </c>
      <c r="O168">
        <v>113.2</v>
      </c>
      <c r="P168">
        <v>122.4</v>
      </c>
      <c r="Q168">
        <v>122</v>
      </c>
      <c r="R168" s="12">
        <f t="shared" si="11"/>
        <v>2.0920502092050208E-2</v>
      </c>
      <c r="S168">
        <v>119</v>
      </c>
      <c r="T168">
        <v>117.4</v>
      </c>
      <c r="U168">
        <v>113.2</v>
      </c>
      <c r="V168">
        <v>116.7</v>
      </c>
      <c r="W168">
        <v>113.9</v>
      </c>
      <c r="X168">
        <v>111.2</v>
      </c>
      <c r="Y168" s="12">
        <f t="shared" si="12"/>
        <v>-2.7972027972027996E-2</v>
      </c>
      <c r="Z168">
        <v>114.3</v>
      </c>
      <c r="AA168">
        <v>111.4</v>
      </c>
      <c r="AB168" s="12">
        <f t="shared" si="13"/>
        <v>-1.2411347517730421E-2</v>
      </c>
      <c r="AC168">
        <v>111.5</v>
      </c>
      <c r="AD168">
        <v>111.8</v>
      </c>
      <c r="AE168">
        <v>115.1</v>
      </c>
      <c r="AF168">
        <v>108.7</v>
      </c>
      <c r="AG168">
        <v>112.2</v>
      </c>
      <c r="AH168">
        <v>116.4</v>
      </c>
      <c r="AI168" t="str">
        <f t="shared" si="14"/>
        <v>No</v>
      </c>
    </row>
    <row r="169" spans="1:35" x14ac:dyDescent="0.25">
      <c r="A169" t="s">
        <v>33</v>
      </c>
      <c r="B169">
        <v>2014</v>
      </c>
      <c r="C169">
        <v>6</v>
      </c>
      <c r="D169" s="13">
        <f t="shared" si="10"/>
        <v>41791</v>
      </c>
      <c r="E169">
        <v>121.5</v>
      </c>
      <c r="F169">
        <v>123.1</v>
      </c>
      <c r="G169">
        <v>115.8</v>
      </c>
      <c r="H169">
        <v>119.7</v>
      </c>
      <c r="I169">
        <v>107.8</v>
      </c>
      <c r="J169">
        <v>128.30000000000001</v>
      </c>
      <c r="K169">
        <v>132.1</v>
      </c>
      <c r="L169">
        <v>112.4</v>
      </c>
      <c r="M169">
        <v>102.9</v>
      </c>
      <c r="N169">
        <v>114.3</v>
      </c>
      <c r="O169">
        <v>114.2</v>
      </c>
      <c r="P169">
        <v>121.2</v>
      </c>
      <c r="Q169">
        <v>120.4</v>
      </c>
      <c r="R169" s="12">
        <f t="shared" si="11"/>
        <v>-1.3114754098360609E-2</v>
      </c>
      <c r="S169">
        <v>117.8</v>
      </c>
      <c r="T169">
        <v>118.8</v>
      </c>
      <c r="U169">
        <v>115.6</v>
      </c>
      <c r="V169">
        <v>118.3</v>
      </c>
      <c r="W169">
        <v>113.9</v>
      </c>
      <c r="X169">
        <v>113.2</v>
      </c>
      <c r="Y169" s="12">
        <f t="shared" si="12"/>
        <v>1.7985611510791366E-2</v>
      </c>
      <c r="Z169">
        <v>114.6</v>
      </c>
      <c r="AA169">
        <v>112.3</v>
      </c>
      <c r="AB169" s="12">
        <f t="shared" si="13"/>
        <v>8.0789946140035138E-3</v>
      </c>
      <c r="AC169">
        <v>111.8</v>
      </c>
      <c r="AD169">
        <v>111.6</v>
      </c>
      <c r="AE169">
        <v>114.8</v>
      </c>
      <c r="AF169">
        <v>108.3</v>
      </c>
      <c r="AG169">
        <v>112.3</v>
      </c>
      <c r="AH169">
        <v>116.7</v>
      </c>
      <c r="AI169" t="str">
        <f t="shared" si="14"/>
        <v>No</v>
      </c>
    </row>
    <row r="170" spans="1:35" x14ac:dyDescent="0.25">
      <c r="A170" t="s">
        <v>30</v>
      </c>
      <c r="B170">
        <v>2015</v>
      </c>
      <c r="C170">
        <v>6</v>
      </c>
      <c r="D170" s="13">
        <f t="shared" si="10"/>
        <v>42156</v>
      </c>
      <c r="E170">
        <v>124.1</v>
      </c>
      <c r="F170">
        <v>130.4</v>
      </c>
      <c r="G170">
        <v>122.1</v>
      </c>
      <c r="H170">
        <v>128.69999999999999</v>
      </c>
      <c r="I170">
        <v>114.1</v>
      </c>
      <c r="J170">
        <v>133.19999999999999</v>
      </c>
      <c r="K170">
        <v>135.19999999999999</v>
      </c>
      <c r="L170">
        <v>131.9</v>
      </c>
      <c r="M170">
        <v>96.3</v>
      </c>
      <c r="N170">
        <v>123</v>
      </c>
      <c r="O170">
        <v>121.1</v>
      </c>
      <c r="P170">
        <v>131.19999999999999</v>
      </c>
      <c r="Q170">
        <v>126.6</v>
      </c>
      <c r="R170" s="12">
        <f t="shared" si="11"/>
        <v>5.1495016611295581E-2</v>
      </c>
      <c r="S170">
        <v>128.19999999999999</v>
      </c>
      <c r="T170">
        <v>128.4</v>
      </c>
      <c r="U170">
        <v>125.1</v>
      </c>
      <c r="V170">
        <v>128</v>
      </c>
      <c r="W170" t="s">
        <v>31</v>
      </c>
      <c r="X170">
        <v>122.6</v>
      </c>
      <c r="Y170" s="12">
        <f t="shared" si="12"/>
        <v>8.3038869257950454E-2</v>
      </c>
      <c r="Z170">
        <v>122.8</v>
      </c>
      <c r="AA170">
        <v>120.4</v>
      </c>
      <c r="AB170" s="12">
        <f t="shared" si="13"/>
        <v>7.2128227960819316E-2</v>
      </c>
      <c r="AC170">
        <v>114.2</v>
      </c>
      <c r="AD170">
        <v>117.9</v>
      </c>
      <c r="AE170">
        <v>122</v>
      </c>
      <c r="AF170">
        <v>113</v>
      </c>
      <c r="AG170">
        <v>117.9</v>
      </c>
      <c r="AH170">
        <v>124.1</v>
      </c>
      <c r="AI170" t="str">
        <f t="shared" si="14"/>
        <v>No</v>
      </c>
    </row>
    <row r="171" spans="1:35" x14ac:dyDescent="0.25">
      <c r="A171" t="s">
        <v>32</v>
      </c>
      <c r="B171">
        <v>2015</v>
      </c>
      <c r="C171">
        <v>6</v>
      </c>
      <c r="D171" s="13">
        <f t="shared" si="10"/>
        <v>42156</v>
      </c>
      <c r="E171">
        <v>123.6</v>
      </c>
      <c r="F171">
        <v>134.4</v>
      </c>
      <c r="G171">
        <v>120.9</v>
      </c>
      <c r="H171">
        <v>127.3</v>
      </c>
      <c r="I171">
        <v>106</v>
      </c>
      <c r="J171">
        <v>132.30000000000001</v>
      </c>
      <c r="K171">
        <v>146.69999999999999</v>
      </c>
      <c r="L171">
        <v>148.1</v>
      </c>
      <c r="M171">
        <v>89.8</v>
      </c>
      <c r="N171">
        <v>130.5</v>
      </c>
      <c r="O171">
        <v>118</v>
      </c>
      <c r="P171">
        <v>130.5</v>
      </c>
      <c r="Q171">
        <v>128.5</v>
      </c>
      <c r="R171" s="12">
        <f t="shared" si="11"/>
        <v>1.5007898894154863E-2</v>
      </c>
      <c r="S171">
        <v>132.1</v>
      </c>
      <c r="T171">
        <v>123.2</v>
      </c>
      <c r="U171">
        <v>117.6</v>
      </c>
      <c r="V171">
        <v>122.3</v>
      </c>
      <c r="W171">
        <v>119</v>
      </c>
      <c r="X171">
        <v>115.1</v>
      </c>
      <c r="Y171" s="12">
        <f t="shared" si="12"/>
        <v>-6.1174551386623165E-2</v>
      </c>
      <c r="Z171">
        <v>119.2</v>
      </c>
      <c r="AA171">
        <v>115.4</v>
      </c>
      <c r="AB171" s="12">
        <f t="shared" si="13"/>
        <v>-4.1528239202657809E-2</v>
      </c>
      <c r="AC171">
        <v>111.7</v>
      </c>
      <c r="AD171">
        <v>116.2</v>
      </c>
      <c r="AE171">
        <v>123.8</v>
      </c>
      <c r="AF171">
        <v>112.5</v>
      </c>
      <c r="AG171">
        <v>116</v>
      </c>
      <c r="AH171">
        <v>121.7</v>
      </c>
      <c r="AI171" t="str">
        <f t="shared" si="14"/>
        <v>No</v>
      </c>
    </row>
    <row r="172" spans="1:35" x14ac:dyDescent="0.25">
      <c r="A172" t="s">
        <v>33</v>
      </c>
      <c r="B172">
        <v>2015</v>
      </c>
      <c r="C172">
        <v>6</v>
      </c>
      <c r="D172" s="13">
        <f t="shared" si="10"/>
        <v>42156</v>
      </c>
      <c r="E172">
        <v>123.9</v>
      </c>
      <c r="F172">
        <v>131.80000000000001</v>
      </c>
      <c r="G172">
        <v>121.6</v>
      </c>
      <c r="H172">
        <v>128.19999999999999</v>
      </c>
      <c r="I172">
        <v>111.1</v>
      </c>
      <c r="J172">
        <v>132.80000000000001</v>
      </c>
      <c r="K172">
        <v>139.1</v>
      </c>
      <c r="L172">
        <v>137.4</v>
      </c>
      <c r="M172">
        <v>94.1</v>
      </c>
      <c r="N172">
        <v>125.5</v>
      </c>
      <c r="O172">
        <v>119.8</v>
      </c>
      <c r="P172">
        <v>130.9</v>
      </c>
      <c r="Q172">
        <v>127.3</v>
      </c>
      <c r="R172" s="12">
        <f t="shared" si="11"/>
        <v>-9.3385214007782325E-3</v>
      </c>
      <c r="S172">
        <v>129.19999999999999</v>
      </c>
      <c r="T172">
        <v>126.4</v>
      </c>
      <c r="U172">
        <v>122</v>
      </c>
      <c r="V172">
        <v>125.7</v>
      </c>
      <c r="W172">
        <v>119</v>
      </c>
      <c r="X172">
        <v>119.8</v>
      </c>
      <c r="Y172" s="12">
        <f t="shared" si="12"/>
        <v>4.0834057341442249E-2</v>
      </c>
      <c r="Z172">
        <v>121.1</v>
      </c>
      <c r="AA172">
        <v>118.5</v>
      </c>
      <c r="AB172" s="12">
        <f t="shared" si="13"/>
        <v>2.6863084922010349E-2</v>
      </c>
      <c r="AC172">
        <v>112.9</v>
      </c>
      <c r="AD172">
        <v>116.9</v>
      </c>
      <c r="AE172">
        <v>123.1</v>
      </c>
      <c r="AF172">
        <v>112.8</v>
      </c>
      <c r="AG172">
        <v>117</v>
      </c>
      <c r="AH172">
        <v>123</v>
      </c>
      <c r="AI172" t="str">
        <f t="shared" si="14"/>
        <v>No</v>
      </c>
    </row>
    <row r="173" spans="1:35" x14ac:dyDescent="0.25">
      <c r="A173" t="s">
        <v>30</v>
      </c>
      <c r="B173">
        <v>2016</v>
      </c>
      <c r="C173">
        <v>6</v>
      </c>
      <c r="D173" s="13">
        <f t="shared" si="10"/>
        <v>42522</v>
      </c>
      <c r="E173">
        <v>128.6</v>
      </c>
      <c r="F173">
        <v>138.6</v>
      </c>
      <c r="G173">
        <v>126.6</v>
      </c>
      <c r="H173">
        <v>133.6</v>
      </c>
      <c r="I173">
        <v>118.6</v>
      </c>
      <c r="J173">
        <v>137.4</v>
      </c>
      <c r="K173">
        <v>152.5</v>
      </c>
      <c r="L173">
        <v>169.2</v>
      </c>
      <c r="M173">
        <v>108.8</v>
      </c>
      <c r="N173">
        <v>133.1</v>
      </c>
      <c r="O173">
        <v>126.4</v>
      </c>
      <c r="P173">
        <v>139.19999999999999</v>
      </c>
      <c r="Q173">
        <v>136</v>
      </c>
      <c r="R173" s="12">
        <f t="shared" si="11"/>
        <v>6.8342498036135138E-2</v>
      </c>
      <c r="S173">
        <v>137.19999999999999</v>
      </c>
      <c r="T173">
        <v>136.30000000000001</v>
      </c>
      <c r="U173">
        <v>131.6</v>
      </c>
      <c r="V173">
        <v>135.6</v>
      </c>
      <c r="W173" t="s">
        <v>31</v>
      </c>
      <c r="X173">
        <v>128</v>
      </c>
      <c r="Y173" s="12">
        <f t="shared" si="12"/>
        <v>6.8447412353923237E-2</v>
      </c>
      <c r="Z173">
        <v>129.30000000000001</v>
      </c>
      <c r="AA173">
        <v>126.2</v>
      </c>
      <c r="AB173" s="12">
        <f t="shared" si="13"/>
        <v>6.497890295358652E-2</v>
      </c>
      <c r="AC173">
        <v>116.3</v>
      </c>
      <c r="AD173">
        <v>124.1</v>
      </c>
      <c r="AE173">
        <v>130.19999999999999</v>
      </c>
      <c r="AF173">
        <v>119.9</v>
      </c>
      <c r="AG173">
        <v>123.3</v>
      </c>
      <c r="AH173">
        <v>131.9</v>
      </c>
      <c r="AI173" t="str">
        <f t="shared" si="14"/>
        <v>No</v>
      </c>
    </row>
    <row r="174" spans="1:35" x14ac:dyDescent="0.25">
      <c r="A174" t="s">
        <v>32</v>
      </c>
      <c r="B174">
        <v>2016</v>
      </c>
      <c r="C174">
        <v>6</v>
      </c>
      <c r="D174" s="13">
        <f t="shared" si="10"/>
        <v>42522</v>
      </c>
      <c r="E174">
        <v>125.9</v>
      </c>
      <c r="F174">
        <v>143.9</v>
      </c>
      <c r="G174">
        <v>130.9</v>
      </c>
      <c r="H174">
        <v>131</v>
      </c>
      <c r="I174">
        <v>110.2</v>
      </c>
      <c r="J174">
        <v>135.5</v>
      </c>
      <c r="K174">
        <v>173.7</v>
      </c>
      <c r="L174">
        <v>184.4</v>
      </c>
      <c r="M174">
        <v>112</v>
      </c>
      <c r="N174">
        <v>142.80000000000001</v>
      </c>
      <c r="O174">
        <v>121.6</v>
      </c>
      <c r="P174">
        <v>136.9</v>
      </c>
      <c r="Q174">
        <v>138.19999999999999</v>
      </c>
      <c r="R174" s="12">
        <f t="shared" si="11"/>
        <v>1.6176470588235209E-2</v>
      </c>
      <c r="S174">
        <v>142.69999999999999</v>
      </c>
      <c r="T174">
        <v>127.6</v>
      </c>
      <c r="U174">
        <v>121.1</v>
      </c>
      <c r="V174">
        <v>126.6</v>
      </c>
      <c r="W174">
        <v>125.5</v>
      </c>
      <c r="X174">
        <v>115.5</v>
      </c>
      <c r="Y174" s="12">
        <f t="shared" si="12"/>
        <v>-9.765625E-2</v>
      </c>
      <c r="Z174">
        <v>123.2</v>
      </c>
      <c r="AA174">
        <v>120.6</v>
      </c>
      <c r="AB174" s="12">
        <f t="shared" si="13"/>
        <v>-4.4374009508716387E-2</v>
      </c>
      <c r="AC174">
        <v>112.3</v>
      </c>
      <c r="AD174">
        <v>119.9</v>
      </c>
      <c r="AE174">
        <v>129.30000000000001</v>
      </c>
      <c r="AF174">
        <v>118.8</v>
      </c>
      <c r="AG174">
        <v>119.6</v>
      </c>
      <c r="AH174">
        <v>128.1</v>
      </c>
      <c r="AI174" t="str">
        <f t="shared" si="14"/>
        <v>No</v>
      </c>
    </row>
    <row r="175" spans="1:35" x14ac:dyDescent="0.25">
      <c r="A175" t="s">
        <v>33</v>
      </c>
      <c r="B175">
        <v>2016</v>
      </c>
      <c r="C175">
        <v>6</v>
      </c>
      <c r="D175" s="13">
        <f t="shared" si="10"/>
        <v>42522</v>
      </c>
      <c r="E175">
        <v>127.7</v>
      </c>
      <c r="F175">
        <v>140.5</v>
      </c>
      <c r="G175">
        <v>128.30000000000001</v>
      </c>
      <c r="H175">
        <v>132.6</v>
      </c>
      <c r="I175">
        <v>115.5</v>
      </c>
      <c r="J175">
        <v>136.5</v>
      </c>
      <c r="K175">
        <v>159.69999999999999</v>
      </c>
      <c r="L175">
        <v>174.3</v>
      </c>
      <c r="M175">
        <v>109.9</v>
      </c>
      <c r="N175">
        <v>136.30000000000001</v>
      </c>
      <c r="O175">
        <v>124.4</v>
      </c>
      <c r="P175">
        <v>138.1</v>
      </c>
      <c r="Q175">
        <v>136.80000000000001</v>
      </c>
      <c r="R175" s="12">
        <f t="shared" si="11"/>
        <v>-1.0130246020260329E-2</v>
      </c>
      <c r="S175">
        <v>138.69999999999999</v>
      </c>
      <c r="T175">
        <v>132.9</v>
      </c>
      <c r="U175">
        <v>127.2</v>
      </c>
      <c r="V175">
        <v>132</v>
      </c>
      <c r="W175">
        <v>125.5</v>
      </c>
      <c r="X175">
        <v>123.3</v>
      </c>
      <c r="Y175" s="12">
        <f t="shared" si="12"/>
        <v>6.7532467532467513E-2</v>
      </c>
      <c r="Z175">
        <v>126.4</v>
      </c>
      <c r="AA175">
        <v>124.1</v>
      </c>
      <c r="AB175" s="12">
        <f t="shared" si="13"/>
        <v>2.9021558872305141E-2</v>
      </c>
      <c r="AC175">
        <v>114.2</v>
      </c>
      <c r="AD175">
        <v>121.7</v>
      </c>
      <c r="AE175">
        <v>129.69999999999999</v>
      </c>
      <c r="AF175">
        <v>119.4</v>
      </c>
      <c r="AG175">
        <v>121.5</v>
      </c>
      <c r="AH175">
        <v>130.1</v>
      </c>
      <c r="AI175" t="str">
        <f t="shared" si="14"/>
        <v>No</v>
      </c>
    </row>
    <row r="176" spans="1:35" x14ac:dyDescent="0.25">
      <c r="A176" t="s">
        <v>30</v>
      </c>
      <c r="B176">
        <v>2017</v>
      </c>
      <c r="C176">
        <v>6</v>
      </c>
      <c r="D176" s="13">
        <f t="shared" si="10"/>
        <v>42887</v>
      </c>
      <c r="E176">
        <v>133.5</v>
      </c>
      <c r="F176">
        <v>143.69999999999999</v>
      </c>
      <c r="G176">
        <v>128</v>
      </c>
      <c r="H176">
        <v>138.6</v>
      </c>
      <c r="I176">
        <v>120.9</v>
      </c>
      <c r="J176">
        <v>140.9</v>
      </c>
      <c r="K176">
        <v>128.80000000000001</v>
      </c>
      <c r="L176">
        <v>140.19999999999999</v>
      </c>
      <c r="M176">
        <v>118.9</v>
      </c>
      <c r="N176">
        <v>133.5</v>
      </c>
      <c r="O176">
        <v>130.4</v>
      </c>
      <c r="P176">
        <v>146.5</v>
      </c>
      <c r="Q176">
        <v>134.9</v>
      </c>
      <c r="R176" s="12">
        <f t="shared" si="11"/>
        <v>-1.388888888888893E-2</v>
      </c>
      <c r="S176">
        <v>145.80000000000001</v>
      </c>
      <c r="T176">
        <v>143.1</v>
      </c>
      <c r="U176">
        <v>137.69999999999999</v>
      </c>
      <c r="V176">
        <v>142.30000000000001</v>
      </c>
      <c r="W176" t="s">
        <v>31</v>
      </c>
      <c r="X176">
        <v>134.80000000000001</v>
      </c>
      <c r="Y176" s="12">
        <f t="shared" si="12"/>
        <v>9.3268450932684627E-2</v>
      </c>
      <c r="Z176">
        <v>135.19999999999999</v>
      </c>
      <c r="AA176">
        <v>131.30000000000001</v>
      </c>
      <c r="AB176" s="12">
        <f t="shared" si="13"/>
        <v>5.8017727639000947E-2</v>
      </c>
      <c r="AC176">
        <v>119.4</v>
      </c>
      <c r="AD176">
        <v>129.80000000000001</v>
      </c>
      <c r="AE176">
        <v>136.9</v>
      </c>
      <c r="AF176">
        <v>124.1</v>
      </c>
      <c r="AG176">
        <v>128.1</v>
      </c>
      <c r="AH176">
        <v>133.9</v>
      </c>
      <c r="AI176" t="str">
        <f t="shared" si="14"/>
        <v>No</v>
      </c>
    </row>
    <row r="177" spans="1:35" x14ac:dyDescent="0.25">
      <c r="A177" t="s">
        <v>32</v>
      </c>
      <c r="B177">
        <v>2017</v>
      </c>
      <c r="C177">
        <v>6</v>
      </c>
      <c r="D177" s="13">
        <f t="shared" si="10"/>
        <v>42887</v>
      </c>
      <c r="E177">
        <v>132.9</v>
      </c>
      <c r="F177">
        <v>148.69999999999999</v>
      </c>
      <c r="G177">
        <v>128.30000000000001</v>
      </c>
      <c r="H177">
        <v>137.30000000000001</v>
      </c>
      <c r="I177">
        <v>113.5</v>
      </c>
      <c r="J177">
        <v>137.19999999999999</v>
      </c>
      <c r="K177">
        <v>142.19999999999999</v>
      </c>
      <c r="L177">
        <v>128.19999999999999</v>
      </c>
      <c r="M177">
        <v>120.9</v>
      </c>
      <c r="N177">
        <v>138.80000000000001</v>
      </c>
      <c r="O177">
        <v>124.2</v>
      </c>
      <c r="P177">
        <v>143.1</v>
      </c>
      <c r="Q177">
        <v>135.69999999999999</v>
      </c>
      <c r="R177" s="12">
        <f t="shared" si="11"/>
        <v>5.9303187546329347E-3</v>
      </c>
      <c r="S177">
        <v>148.6</v>
      </c>
      <c r="T177">
        <v>131.5</v>
      </c>
      <c r="U177">
        <v>123.2</v>
      </c>
      <c r="V177">
        <v>130.19999999999999</v>
      </c>
      <c r="W177">
        <v>131.4</v>
      </c>
      <c r="X177">
        <v>119</v>
      </c>
      <c r="Y177" s="12">
        <f t="shared" si="12"/>
        <v>-0.11721068249258168</v>
      </c>
      <c r="Z177">
        <v>126.8</v>
      </c>
      <c r="AA177">
        <v>123.8</v>
      </c>
      <c r="AB177" s="12">
        <f t="shared" si="13"/>
        <v>-5.7121096725057226E-2</v>
      </c>
      <c r="AC177">
        <v>113.9</v>
      </c>
      <c r="AD177">
        <v>122.9</v>
      </c>
      <c r="AE177">
        <v>134.30000000000001</v>
      </c>
      <c r="AF177">
        <v>122.5</v>
      </c>
      <c r="AG177">
        <v>122.7</v>
      </c>
      <c r="AH177">
        <v>129.9</v>
      </c>
      <c r="AI177" t="str">
        <f t="shared" si="14"/>
        <v>No</v>
      </c>
    </row>
    <row r="178" spans="1:35" x14ac:dyDescent="0.25">
      <c r="A178" t="s">
        <v>33</v>
      </c>
      <c r="B178">
        <v>2017</v>
      </c>
      <c r="C178">
        <v>6</v>
      </c>
      <c r="D178" s="13">
        <f t="shared" si="10"/>
        <v>42887</v>
      </c>
      <c r="E178">
        <v>133.30000000000001</v>
      </c>
      <c r="F178">
        <v>145.5</v>
      </c>
      <c r="G178">
        <v>128.1</v>
      </c>
      <c r="H178">
        <v>138.1</v>
      </c>
      <c r="I178">
        <v>118.2</v>
      </c>
      <c r="J178">
        <v>139.19999999999999</v>
      </c>
      <c r="K178">
        <v>133.30000000000001</v>
      </c>
      <c r="L178">
        <v>136.19999999999999</v>
      </c>
      <c r="M178">
        <v>119.6</v>
      </c>
      <c r="N178">
        <v>135.30000000000001</v>
      </c>
      <c r="O178">
        <v>127.8</v>
      </c>
      <c r="P178">
        <v>144.9</v>
      </c>
      <c r="Q178">
        <v>135.19999999999999</v>
      </c>
      <c r="R178" s="12">
        <f t="shared" si="11"/>
        <v>-3.6845983787767139E-3</v>
      </c>
      <c r="S178">
        <v>146.5</v>
      </c>
      <c r="T178">
        <v>138.5</v>
      </c>
      <c r="U178">
        <v>131.69999999999999</v>
      </c>
      <c r="V178">
        <v>137.5</v>
      </c>
      <c r="W178">
        <v>131.4</v>
      </c>
      <c r="X178">
        <v>128.80000000000001</v>
      </c>
      <c r="Y178" s="12">
        <f t="shared" si="12"/>
        <v>8.2352941176470684E-2</v>
      </c>
      <c r="Z178">
        <v>131.19999999999999</v>
      </c>
      <c r="AA178">
        <v>128.5</v>
      </c>
      <c r="AB178" s="12">
        <f t="shared" si="13"/>
        <v>3.7964458804523447E-2</v>
      </c>
      <c r="AC178">
        <v>116.5</v>
      </c>
      <c r="AD178">
        <v>125.9</v>
      </c>
      <c r="AE178">
        <v>135.4</v>
      </c>
      <c r="AF178">
        <v>123.4</v>
      </c>
      <c r="AG178">
        <v>125.5</v>
      </c>
      <c r="AH178">
        <v>132</v>
      </c>
      <c r="AI178" t="str">
        <f t="shared" si="14"/>
        <v>No</v>
      </c>
    </row>
    <row r="179" spans="1:35" x14ac:dyDescent="0.25">
      <c r="A179" t="s">
        <v>30</v>
      </c>
      <c r="B179">
        <v>2018</v>
      </c>
      <c r="C179">
        <v>6</v>
      </c>
      <c r="D179" s="13">
        <f t="shared" si="10"/>
        <v>43252</v>
      </c>
      <c r="E179">
        <v>137.6</v>
      </c>
      <c r="F179">
        <v>148.1</v>
      </c>
      <c r="G179">
        <v>136.69999999999999</v>
      </c>
      <c r="H179">
        <v>143.19999999999999</v>
      </c>
      <c r="I179">
        <v>124</v>
      </c>
      <c r="J179">
        <v>154.1</v>
      </c>
      <c r="K179">
        <v>143.5</v>
      </c>
      <c r="L179">
        <v>126</v>
      </c>
      <c r="M179">
        <v>112.4</v>
      </c>
      <c r="N179">
        <v>137.6</v>
      </c>
      <c r="O179">
        <v>132.80000000000001</v>
      </c>
      <c r="P179">
        <v>154.30000000000001</v>
      </c>
      <c r="Q179">
        <v>140</v>
      </c>
      <c r="R179" s="12">
        <f t="shared" si="11"/>
        <v>3.5502958579881741E-2</v>
      </c>
      <c r="S179">
        <v>157.30000000000001</v>
      </c>
      <c r="T179">
        <v>151.30000000000001</v>
      </c>
      <c r="U179">
        <v>144.69999999999999</v>
      </c>
      <c r="V179">
        <v>150.30000000000001</v>
      </c>
      <c r="W179" t="s">
        <v>31</v>
      </c>
      <c r="X179">
        <v>145.1</v>
      </c>
      <c r="Y179" s="12">
        <f t="shared" si="12"/>
        <v>0.12655279503105576</v>
      </c>
      <c r="Z179">
        <v>142.19999999999999</v>
      </c>
      <c r="AA179">
        <v>138.4</v>
      </c>
      <c r="AB179" s="12">
        <f t="shared" si="13"/>
        <v>7.7042801556420279E-2</v>
      </c>
      <c r="AC179">
        <v>127.4</v>
      </c>
      <c r="AD179">
        <v>137.80000000000001</v>
      </c>
      <c r="AE179">
        <v>145.1</v>
      </c>
      <c r="AF179">
        <v>131.4</v>
      </c>
      <c r="AG179">
        <v>135.6</v>
      </c>
      <c r="AH179">
        <v>140.5</v>
      </c>
      <c r="AI179" t="str">
        <f t="shared" si="14"/>
        <v>No</v>
      </c>
    </row>
    <row r="180" spans="1:35" x14ac:dyDescent="0.25">
      <c r="A180" t="s">
        <v>32</v>
      </c>
      <c r="B180">
        <v>2018</v>
      </c>
      <c r="C180">
        <v>6</v>
      </c>
      <c r="D180" s="13">
        <f t="shared" si="10"/>
        <v>43252</v>
      </c>
      <c r="E180">
        <v>135.30000000000001</v>
      </c>
      <c r="F180">
        <v>149.69999999999999</v>
      </c>
      <c r="G180">
        <v>133.9</v>
      </c>
      <c r="H180">
        <v>140.80000000000001</v>
      </c>
      <c r="I180">
        <v>116.6</v>
      </c>
      <c r="J180">
        <v>152.19999999999999</v>
      </c>
      <c r="K180">
        <v>144</v>
      </c>
      <c r="L180">
        <v>112.3</v>
      </c>
      <c r="M180">
        <v>108.4</v>
      </c>
      <c r="N180">
        <v>140</v>
      </c>
      <c r="O180">
        <v>126.7</v>
      </c>
      <c r="P180">
        <v>149</v>
      </c>
      <c r="Q180">
        <v>138.4</v>
      </c>
      <c r="R180" s="12">
        <f t="shared" si="11"/>
        <v>-1.1428571428571389E-2</v>
      </c>
      <c r="S180">
        <v>161</v>
      </c>
      <c r="T180">
        <v>138.9</v>
      </c>
      <c r="U180">
        <v>128.69999999999999</v>
      </c>
      <c r="V180">
        <v>137.4</v>
      </c>
      <c r="W180">
        <v>142.5</v>
      </c>
      <c r="X180">
        <v>126.5</v>
      </c>
      <c r="Y180" s="12">
        <f t="shared" si="12"/>
        <v>-0.12818745692625771</v>
      </c>
      <c r="Z180">
        <v>133.1</v>
      </c>
      <c r="AA180">
        <v>132.6</v>
      </c>
      <c r="AB180" s="12">
        <f t="shared" si="13"/>
        <v>-4.1907514450867135E-2</v>
      </c>
      <c r="AC180">
        <v>120.4</v>
      </c>
      <c r="AD180">
        <v>128.5</v>
      </c>
      <c r="AE180">
        <v>141.19999999999999</v>
      </c>
      <c r="AF180">
        <v>128.19999999999999</v>
      </c>
      <c r="AG180">
        <v>129.5</v>
      </c>
      <c r="AH180">
        <v>136.19999999999999</v>
      </c>
      <c r="AI180" t="str">
        <f t="shared" si="14"/>
        <v>No</v>
      </c>
    </row>
    <row r="181" spans="1:35" x14ac:dyDescent="0.25">
      <c r="A181" t="s">
        <v>33</v>
      </c>
      <c r="B181">
        <v>2018</v>
      </c>
      <c r="C181">
        <v>6</v>
      </c>
      <c r="D181" s="13">
        <f t="shared" si="10"/>
        <v>43252</v>
      </c>
      <c r="E181">
        <v>136.9</v>
      </c>
      <c r="F181">
        <v>148.69999999999999</v>
      </c>
      <c r="G181">
        <v>135.6</v>
      </c>
      <c r="H181">
        <v>142.30000000000001</v>
      </c>
      <c r="I181">
        <v>121.3</v>
      </c>
      <c r="J181">
        <v>153.19999999999999</v>
      </c>
      <c r="K181">
        <v>143.69999999999999</v>
      </c>
      <c r="L181">
        <v>121.4</v>
      </c>
      <c r="M181">
        <v>111.1</v>
      </c>
      <c r="N181">
        <v>138.4</v>
      </c>
      <c r="O181">
        <v>130.30000000000001</v>
      </c>
      <c r="P181">
        <v>151.80000000000001</v>
      </c>
      <c r="Q181">
        <v>139.4</v>
      </c>
      <c r="R181" s="12">
        <f t="shared" si="11"/>
        <v>7.2254335260115606E-3</v>
      </c>
      <c r="S181">
        <v>158.30000000000001</v>
      </c>
      <c r="T181">
        <v>146.4</v>
      </c>
      <c r="U181">
        <v>138.1</v>
      </c>
      <c r="V181">
        <v>145.19999999999999</v>
      </c>
      <c r="W181">
        <v>142.5</v>
      </c>
      <c r="X181">
        <v>138.1</v>
      </c>
      <c r="Y181" s="12">
        <f t="shared" si="12"/>
        <v>9.169960474308296E-2</v>
      </c>
      <c r="Z181">
        <v>137.9</v>
      </c>
      <c r="AA181">
        <v>136.19999999999999</v>
      </c>
      <c r="AB181" s="12">
        <f t="shared" si="13"/>
        <v>2.7149321266968285E-2</v>
      </c>
      <c r="AC181">
        <v>123.7</v>
      </c>
      <c r="AD181">
        <v>132.6</v>
      </c>
      <c r="AE181">
        <v>142.80000000000001</v>
      </c>
      <c r="AF181">
        <v>130.1</v>
      </c>
      <c r="AG181">
        <v>132.6</v>
      </c>
      <c r="AH181">
        <v>138.5</v>
      </c>
      <c r="AI181" t="str">
        <f t="shared" si="14"/>
        <v>No</v>
      </c>
    </row>
    <row r="182" spans="1:35" x14ac:dyDescent="0.25">
      <c r="A182" t="s">
        <v>30</v>
      </c>
      <c r="B182">
        <v>2019</v>
      </c>
      <c r="C182">
        <v>6</v>
      </c>
      <c r="D182" s="13">
        <f t="shared" si="10"/>
        <v>43617</v>
      </c>
      <c r="E182">
        <v>137.80000000000001</v>
      </c>
      <c r="F182">
        <v>163.5</v>
      </c>
      <c r="G182">
        <v>136.19999999999999</v>
      </c>
      <c r="H182">
        <v>143.19999999999999</v>
      </c>
      <c r="I182">
        <v>124.3</v>
      </c>
      <c r="J182">
        <v>143.30000000000001</v>
      </c>
      <c r="K182">
        <v>140.6</v>
      </c>
      <c r="L182">
        <v>128.69999999999999</v>
      </c>
      <c r="M182">
        <v>110.6</v>
      </c>
      <c r="N182">
        <v>140.4</v>
      </c>
      <c r="O182">
        <v>138</v>
      </c>
      <c r="P182">
        <v>156.6</v>
      </c>
      <c r="Q182">
        <v>141</v>
      </c>
      <c r="R182" s="12">
        <f t="shared" si="11"/>
        <v>1.1477761836441853E-2</v>
      </c>
      <c r="S182">
        <v>164.2</v>
      </c>
      <c r="T182">
        <v>151.4</v>
      </c>
      <c r="U182">
        <v>146.5</v>
      </c>
      <c r="V182">
        <v>150.69999999999999</v>
      </c>
      <c r="W182" t="s">
        <v>31</v>
      </c>
      <c r="X182">
        <v>147.80000000000001</v>
      </c>
      <c r="Y182" s="12">
        <f t="shared" si="12"/>
        <v>7.0238957277335395E-2</v>
      </c>
      <c r="Z182">
        <v>149.6</v>
      </c>
      <c r="AA182">
        <v>151.69999999999999</v>
      </c>
      <c r="AB182" s="12">
        <f t="shared" si="13"/>
        <v>0.11380323054331866</v>
      </c>
      <c r="AC182">
        <v>130.19999999999999</v>
      </c>
      <c r="AD182">
        <v>146.4</v>
      </c>
      <c r="AE182">
        <v>157.69999999999999</v>
      </c>
      <c r="AF182">
        <v>134.80000000000001</v>
      </c>
      <c r="AG182">
        <v>143.30000000000001</v>
      </c>
      <c r="AH182">
        <v>143.6</v>
      </c>
      <c r="AI182" t="str">
        <f t="shared" si="14"/>
        <v>No</v>
      </c>
    </row>
    <row r="183" spans="1:35" x14ac:dyDescent="0.25">
      <c r="A183" t="s">
        <v>32</v>
      </c>
      <c r="B183">
        <v>2019</v>
      </c>
      <c r="C183">
        <v>6</v>
      </c>
      <c r="D183" s="13">
        <f t="shared" si="10"/>
        <v>43617</v>
      </c>
      <c r="E183">
        <v>140.69999999999999</v>
      </c>
      <c r="F183">
        <v>159.6</v>
      </c>
      <c r="G183">
        <v>140.4</v>
      </c>
      <c r="H183">
        <v>143.4</v>
      </c>
      <c r="I183">
        <v>118.6</v>
      </c>
      <c r="J183">
        <v>150.9</v>
      </c>
      <c r="K183">
        <v>169.8</v>
      </c>
      <c r="L183">
        <v>127.4</v>
      </c>
      <c r="M183">
        <v>111.8</v>
      </c>
      <c r="N183">
        <v>141</v>
      </c>
      <c r="O183">
        <v>129</v>
      </c>
      <c r="P183">
        <v>155.1</v>
      </c>
      <c r="Q183">
        <v>145.6</v>
      </c>
      <c r="R183" s="12">
        <f t="shared" si="11"/>
        <v>3.2624113475177262E-2</v>
      </c>
      <c r="S183">
        <v>166.7</v>
      </c>
      <c r="T183">
        <v>144.30000000000001</v>
      </c>
      <c r="U183">
        <v>131.69999999999999</v>
      </c>
      <c r="V183">
        <v>142.4</v>
      </c>
      <c r="W183">
        <v>149.4</v>
      </c>
      <c r="X183">
        <v>130.5</v>
      </c>
      <c r="Y183" s="12">
        <f t="shared" si="12"/>
        <v>-0.11705006765899871</v>
      </c>
      <c r="Z183">
        <v>137.4</v>
      </c>
      <c r="AA183">
        <v>140.30000000000001</v>
      </c>
      <c r="AB183" s="12">
        <f t="shared" si="13"/>
        <v>-7.5148319050757931E-2</v>
      </c>
      <c r="AC183">
        <v>119.6</v>
      </c>
      <c r="AD183">
        <v>134.30000000000001</v>
      </c>
      <c r="AE183">
        <v>148.9</v>
      </c>
      <c r="AF183">
        <v>133.69999999999999</v>
      </c>
      <c r="AG183">
        <v>133.6</v>
      </c>
      <c r="AH183">
        <v>142.1</v>
      </c>
      <c r="AI183" t="str">
        <f t="shared" si="14"/>
        <v>Yes</v>
      </c>
    </row>
    <row r="184" spans="1:35" x14ac:dyDescent="0.25">
      <c r="A184" t="s">
        <v>33</v>
      </c>
      <c r="B184">
        <v>2019</v>
      </c>
      <c r="C184">
        <v>6</v>
      </c>
      <c r="D184" s="13">
        <f t="shared" si="10"/>
        <v>43617</v>
      </c>
      <c r="E184">
        <v>138.69999999999999</v>
      </c>
      <c r="F184">
        <v>162.1</v>
      </c>
      <c r="G184">
        <v>137.80000000000001</v>
      </c>
      <c r="H184">
        <v>143.30000000000001</v>
      </c>
      <c r="I184">
        <v>122.2</v>
      </c>
      <c r="J184">
        <v>146.80000000000001</v>
      </c>
      <c r="K184">
        <v>150.5</v>
      </c>
      <c r="L184">
        <v>128.30000000000001</v>
      </c>
      <c r="M184">
        <v>111</v>
      </c>
      <c r="N184">
        <v>140.6</v>
      </c>
      <c r="O184">
        <v>134.19999999999999</v>
      </c>
      <c r="P184">
        <v>155.9</v>
      </c>
      <c r="Q184">
        <v>142.69999999999999</v>
      </c>
      <c r="R184" s="12">
        <f t="shared" si="11"/>
        <v>-1.9917582417582458E-2</v>
      </c>
      <c r="S184">
        <v>164.9</v>
      </c>
      <c r="T184">
        <v>148.6</v>
      </c>
      <c r="U184">
        <v>140.4</v>
      </c>
      <c r="V184">
        <v>147.4</v>
      </c>
      <c r="W184">
        <v>149.4</v>
      </c>
      <c r="X184">
        <v>141.19999999999999</v>
      </c>
      <c r="Y184" s="12">
        <f t="shared" si="12"/>
        <v>8.1992337164750864E-2</v>
      </c>
      <c r="Z184">
        <v>143.80000000000001</v>
      </c>
      <c r="AA184">
        <v>147.4</v>
      </c>
      <c r="AB184" s="12">
        <f t="shared" si="13"/>
        <v>5.0605844618674227E-2</v>
      </c>
      <c r="AC184">
        <v>124.6</v>
      </c>
      <c r="AD184">
        <v>139.6</v>
      </c>
      <c r="AE184">
        <v>152.5</v>
      </c>
      <c r="AF184">
        <v>134.30000000000001</v>
      </c>
      <c r="AG184">
        <v>138.6</v>
      </c>
      <c r="AH184">
        <v>142.9</v>
      </c>
      <c r="AI184" t="str">
        <f t="shared" si="14"/>
        <v>No</v>
      </c>
    </row>
    <row r="185" spans="1:35" x14ac:dyDescent="0.25">
      <c r="A185" t="s">
        <v>30</v>
      </c>
      <c r="B185">
        <v>2020</v>
      </c>
      <c r="C185">
        <v>6</v>
      </c>
      <c r="D185" s="13">
        <f t="shared" si="10"/>
        <v>43983</v>
      </c>
      <c r="E185">
        <v>148.19999999999999</v>
      </c>
      <c r="F185">
        <v>190.3</v>
      </c>
      <c r="G185">
        <v>149.4</v>
      </c>
      <c r="H185">
        <v>153.30000000000001</v>
      </c>
      <c r="I185">
        <v>138.19999999999999</v>
      </c>
      <c r="J185">
        <v>143.19999999999999</v>
      </c>
      <c r="K185">
        <v>148.9</v>
      </c>
      <c r="L185">
        <v>150.30000000000001</v>
      </c>
      <c r="M185">
        <v>113.2</v>
      </c>
      <c r="N185">
        <v>159.80000000000001</v>
      </c>
      <c r="O185">
        <v>142.1</v>
      </c>
      <c r="P185">
        <v>161.80000000000001</v>
      </c>
      <c r="Q185">
        <v>152.30000000000001</v>
      </c>
      <c r="R185" s="12">
        <f t="shared" si="11"/>
        <v>6.7274001401541855E-2</v>
      </c>
      <c r="S185">
        <v>182.4</v>
      </c>
      <c r="T185">
        <v>154.69999999999999</v>
      </c>
      <c r="U185">
        <v>150</v>
      </c>
      <c r="V185">
        <v>154.1</v>
      </c>
      <c r="W185" t="s">
        <v>31</v>
      </c>
      <c r="X185">
        <v>144.9</v>
      </c>
      <c r="Y185" s="12">
        <f t="shared" si="12"/>
        <v>2.6203966005665845E-2</v>
      </c>
      <c r="Z185">
        <v>151.69999999999999</v>
      </c>
      <c r="AA185">
        <v>158.19999999999999</v>
      </c>
      <c r="AB185" s="12">
        <f t="shared" si="13"/>
        <v>7.3270013568520906E-2</v>
      </c>
      <c r="AC185">
        <v>141.4</v>
      </c>
      <c r="AD185">
        <v>153.19999999999999</v>
      </c>
      <c r="AE185">
        <v>161.80000000000001</v>
      </c>
      <c r="AF185">
        <v>151.19999999999999</v>
      </c>
      <c r="AG185">
        <v>151.69999999999999</v>
      </c>
      <c r="AH185">
        <v>152.69999999999999</v>
      </c>
      <c r="AI185" t="str">
        <f t="shared" si="14"/>
        <v>No</v>
      </c>
    </row>
    <row r="186" spans="1:35" x14ac:dyDescent="0.25">
      <c r="A186" t="s">
        <v>32</v>
      </c>
      <c r="B186">
        <v>2020</v>
      </c>
      <c r="C186">
        <v>6</v>
      </c>
      <c r="D186" s="13">
        <f t="shared" si="10"/>
        <v>43983</v>
      </c>
      <c r="E186">
        <v>152.69999999999999</v>
      </c>
      <c r="F186">
        <v>197</v>
      </c>
      <c r="G186">
        <v>154.6</v>
      </c>
      <c r="H186">
        <v>153.4</v>
      </c>
      <c r="I186">
        <v>132.9</v>
      </c>
      <c r="J186">
        <v>151.80000000000001</v>
      </c>
      <c r="K186">
        <v>171.2</v>
      </c>
      <c r="L186">
        <v>152</v>
      </c>
      <c r="M186">
        <v>116.3</v>
      </c>
      <c r="N186">
        <v>158.80000000000001</v>
      </c>
      <c r="O186">
        <v>135.6</v>
      </c>
      <c r="P186">
        <v>161.69999999999999</v>
      </c>
      <c r="Q186">
        <v>157</v>
      </c>
      <c r="R186" s="12">
        <f t="shared" si="11"/>
        <v>3.0860144451739908E-2</v>
      </c>
      <c r="S186">
        <v>186.7</v>
      </c>
      <c r="T186">
        <v>149.1</v>
      </c>
      <c r="U186">
        <v>136.6</v>
      </c>
      <c r="V186">
        <v>147.19999999999999</v>
      </c>
      <c r="W186">
        <v>154.69999999999999</v>
      </c>
      <c r="X186">
        <v>137.1</v>
      </c>
      <c r="Y186" s="12">
        <f t="shared" si="12"/>
        <v>-5.38302277432713E-2</v>
      </c>
      <c r="Z186">
        <v>140.4</v>
      </c>
      <c r="AA186">
        <v>148.1</v>
      </c>
      <c r="AB186" s="12">
        <f t="shared" si="13"/>
        <v>-6.3843236409608053E-2</v>
      </c>
      <c r="AC186">
        <v>129.30000000000001</v>
      </c>
      <c r="AD186">
        <v>144.5</v>
      </c>
      <c r="AE186">
        <v>152.5</v>
      </c>
      <c r="AF186">
        <v>152.19999999999999</v>
      </c>
      <c r="AG186">
        <v>142</v>
      </c>
      <c r="AH186">
        <v>150.80000000000001</v>
      </c>
      <c r="AI186" t="str">
        <f t="shared" si="14"/>
        <v>Yes</v>
      </c>
    </row>
    <row r="187" spans="1:35" x14ac:dyDescent="0.25">
      <c r="A187" t="s">
        <v>33</v>
      </c>
      <c r="B187">
        <v>2020</v>
      </c>
      <c r="C187">
        <v>6</v>
      </c>
      <c r="D187" s="13">
        <f t="shared" si="10"/>
        <v>43983</v>
      </c>
      <c r="E187">
        <v>149.6</v>
      </c>
      <c r="F187">
        <v>192.7</v>
      </c>
      <c r="G187">
        <v>151.4</v>
      </c>
      <c r="H187">
        <v>153.30000000000001</v>
      </c>
      <c r="I187">
        <v>136.30000000000001</v>
      </c>
      <c r="J187">
        <v>147.19999999999999</v>
      </c>
      <c r="K187">
        <v>156.5</v>
      </c>
      <c r="L187">
        <v>150.9</v>
      </c>
      <c r="M187">
        <v>114.2</v>
      </c>
      <c r="N187">
        <v>159.5</v>
      </c>
      <c r="O187">
        <v>139.4</v>
      </c>
      <c r="P187">
        <v>161.80000000000001</v>
      </c>
      <c r="Q187">
        <v>154</v>
      </c>
      <c r="R187" s="12">
        <f t="shared" si="11"/>
        <v>-1.9108280254777069E-2</v>
      </c>
      <c r="S187">
        <v>183.5</v>
      </c>
      <c r="T187">
        <v>152.5</v>
      </c>
      <c r="U187">
        <v>144.4</v>
      </c>
      <c r="V187">
        <v>151.4</v>
      </c>
      <c r="W187">
        <v>154.69999999999999</v>
      </c>
      <c r="X187">
        <v>141.9</v>
      </c>
      <c r="Y187" s="12">
        <f t="shared" si="12"/>
        <v>3.5010940919037281E-2</v>
      </c>
      <c r="Z187">
        <v>146.4</v>
      </c>
      <c r="AA187">
        <v>154.4</v>
      </c>
      <c r="AB187" s="12">
        <f t="shared" si="13"/>
        <v>4.2538825118163481E-2</v>
      </c>
      <c r="AC187">
        <v>135</v>
      </c>
      <c r="AD187">
        <v>148.30000000000001</v>
      </c>
      <c r="AE187">
        <v>156.4</v>
      </c>
      <c r="AF187">
        <v>151.6</v>
      </c>
      <c r="AG187">
        <v>147</v>
      </c>
      <c r="AH187">
        <v>151.80000000000001</v>
      </c>
      <c r="AI187" t="str">
        <f t="shared" si="14"/>
        <v>No</v>
      </c>
    </row>
    <row r="188" spans="1:35" x14ac:dyDescent="0.25">
      <c r="A188" t="s">
        <v>30</v>
      </c>
      <c r="B188">
        <v>2021</v>
      </c>
      <c r="C188">
        <v>6</v>
      </c>
      <c r="D188" s="13">
        <f t="shared" si="10"/>
        <v>44348</v>
      </c>
      <c r="E188">
        <v>145.6</v>
      </c>
      <c r="F188">
        <v>200.1</v>
      </c>
      <c r="G188">
        <v>179.3</v>
      </c>
      <c r="H188">
        <v>156.1</v>
      </c>
      <c r="I188">
        <v>190.4</v>
      </c>
      <c r="J188">
        <v>158.6</v>
      </c>
      <c r="K188">
        <v>144.69999999999999</v>
      </c>
      <c r="L188">
        <v>165.5</v>
      </c>
      <c r="M188">
        <v>114.6</v>
      </c>
      <c r="N188">
        <v>170</v>
      </c>
      <c r="O188">
        <v>165.5</v>
      </c>
      <c r="P188">
        <v>171.7</v>
      </c>
      <c r="Q188">
        <v>160.5</v>
      </c>
      <c r="R188" s="12">
        <f t="shared" si="11"/>
        <v>4.2207792207792208E-2</v>
      </c>
      <c r="S188">
        <v>189.1</v>
      </c>
      <c r="T188">
        <v>165.3</v>
      </c>
      <c r="U188">
        <v>159.9</v>
      </c>
      <c r="V188">
        <v>164.6</v>
      </c>
      <c r="W188" t="s">
        <v>31</v>
      </c>
      <c r="X188">
        <v>162.1</v>
      </c>
      <c r="Y188" s="12">
        <f t="shared" si="12"/>
        <v>0.14235377026074691</v>
      </c>
      <c r="Z188">
        <v>159.19999999999999</v>
      </c>
      <c r="AA188">
        <v>169.7</v>
      </c>
      <c r="AB188" s="12">
        <f t="shared" si="13"/>
        <v>9.9093264248704543E-2</v>
      </c>
      <c r="AC188">
        <v>154.19999999999999</v>
      </c>
      <c r="AD188">
        <v>160.4</v>
      </c>
      <c r="AE188">
        <v>166.8</v>
      </c>
      <c r="AF188">
        <v>159.4</v>
      </c>
      <c r="AG188">
        <v>161.5</v>
      </c>
      <c r="AH188">
        <v>162.1</v>
      </c>
      <c r="AI188" t="str">
        <f t="shared" si="14"/>
        <v>No</v>
      </c>
    </row>
    <row r="189" spans="1:35" x14ac:dyDescent="0.25">
      <c r="A189" t="s">
        <v>32</v>
      </c>
      <c r="B189">
        <v>2021</v>
      </c>
      <c r="C189">
        <v>6</v>
      </c>
      <c r="D189" s="13">
        <f t="shared" si="10"/>
        <v>44348</v>
      </c>
      <c r="E189">
        <v>149.19999999999999</v>
      </c>
      <c r="F189">
        <v>205.5</v>
      </c>
      <c r="G189">
        <v>182.8</v>
      </c>
      <c r="H189">
        <v>156.5</v>
      </c>
      <c r="I189">
        <v>172.2</v>
      </c>
      <c r="J189">
        <v>171.5</v>
      </c>
      <c r="K189">
        <v>176.2</v>
      </c>
      <c r="L189">
        <v>166.9</v>
      </c>
      <c r="M189">
        <v>116.1</v>
      </c>
      <c r="N189">
        <v>165.5</v>
      </c>
      <c r="O189">
        <v>152.30000000000001</v>
      </c>
      <c r="P189">
        <v>173.3</v>
      </c>
      <c r="Q189">
        <v>166.2</v>
      </c>
      <c r="R189" s="12">
        <f t="shared" si="11"/>
        <v>3.5514018691588711E-2</v>
      </c>
      <c r="S189">
        <v>195.6</v>
      </c>
      <c r="T189">
        <v>157.30000000000001</v>
      </c>
      <c r="U189">
        <v>140.5</v>
      </c>
      <c r="V189">
        <v>154.80000000000001</v>
      </c>
      <c r="W189">
        <v>160.5</v>
      </c>
      <c r="X189">
        <v>156.1</v>
      </c>
      <c r="Y189" s="12">
        <f t="shared" si="12"/>
        <v>-3.701418877236274E-2</v>
      </c>
      <c r="Z189">
        <v>149.80000000000001</v>
      </c>
      <c r="AA189">
        <v>160.80000000000001</v>
      </c>
      <c r="AB189" s="12">
        <f t="shared" si="13"/>
        <v>-5.2445492044784783E-2</v>
      </c>
      <c r="AC189">
        <v>147.5</v>
      </c>
      <c r="AD189">
        <v>150.69999999999999</v>
      </c>
      <c r="AE189">
        <v>158.1</v>
      </c>
      <c r="AF189">
        <v>158</v>
      </c>
      <c r="AG189">
        <v>153.4</v>
      </c>
      <c r="AH189">
        <v>160.4</v>
      </c>
      <c r="AI189" t="str">
        <f t="shared" si="14"/>
        <v>Yes</v>
      </c>
    </row>
    <row r="190" spans="1:35" x14ac:dyDescent="0.25">
      <c r="A190" t="s">
        <v>33</v>
      </c>
      <c r="B190">
        <v>2021</v>
      </c>
      <c r="C190">
        <v>6</v>
      </c>
      <c r="D190" s="13">
        <f t="shared" si="10"/>
        <v>44348</v>
      </c>
      <c r="E190">
        <v>146.69999999999999</v>
      </c>
      <c r="F190">
        <v>202</v>
      </c>
      <c r="G190">
        <v>180.7</v>
      </c>
      <c r="H190">
        <v>156.19999999999999</v>
      </c>
      <c r="I190">
        <v>183.7</v>
      </c>
      <c r="J190">
        <v>164.6</v>
      </c>
      <c r="K190">
        <v>155.4</v>
      </c>
      <c r="L190">
        <v>166</v>
      </c>
      <c r="M190">
        <v>115.1</v>
      </c>
      <c r="N190">
        <v>168.5</v>
      </c>
      <c r="O190">
        <v>160</v>
      </c>
      <c r="P190">
        <v>172.4</v>
      </c>
      <c r="Q190">
        <v>162.6</v>
      </c>
      <c r="R190" s="12">
        <f t="shared" si="11"/>
        <v>-2.1660649819494553E-2</v>
      </c>
      <c r="S190">
        <v>190.8</v>
      </c>
      <c r="T190">
        <v>162.19999999999999</v>
      </c>
      <c r="U190">
        <v>151.80000000000001</v>
      </c>
      <c r="V190">
        <v>160.69999999999999</v>
      </c>
      <c r="W190">
        <v>160.5</v>
      </c>
      <c r="X190">
        <v>159.80000000000001</v>
      </c>
      <c r="Y190" s="12">
        <f t="shared" si="12"/>
        <v>2.3702754644458791E-2</v>
      </c>
      <c r="Z190">
        <v>154.80000000000001</v>
      </c>
      <c r="AA190">
        <v>166.3</v>
      </c>
      <c r="AB190" s="12">
        <f t="shared" si="13"/>
        <v>3.4203980099502485E-2</v>
      </c>
      <c r="AC190">
        <v>150.69999999999999</v>
      </c>
      <c r="AD190">
        <v>154.9</v>
      </c>
      <c r="AE190">
        <v>161.69999999999999</v>
      </c>
      <c r="AF190">
        <v>158.80000000000001</v>
      </c>
      <c r="AG190">
        <v>157.6</v>
      </c>
      <c r="AH190">
        <v>161.30000000000001</v>
      </c>
      <c r="AI190" t="str">
        <f t="shared" si="14"/>
        <v>Yes</v>
      </c>
    </row>
    <row r="191" spans="1:35" x14ac:dyDescent="0.25">
      <c r="A191" t="s">
        <v>30</v>
      </c>
      <c r="B191">
        <v>2022</v>
      </c>
      <c r="C191">
        <v>6</v>
      </c>
      <c r="D191" s="13">
        <f t="shared" si="10"/>
        <v>44713</v>
      </c>
      <c r="E191">
        <v>153.80000000000001</v>
      </c>
      <c r="F191">
        <v>217.2</v>
      </c>
      <c r="G191">
        <v>169.6</v>
      </c>
      <c r="H191">
        <v>165.4</v>
      </c>
      <c r="I191">
        <v>208.1</v>
      </c>
      <c r="J191">
        <v>165.8</v>
      </c>
      <c r="K191">
        <v>167.3</v>
      </c>
      <c r="L191">
        <v>164.6</v>
      </c>
      <c r="M191">
        <v>119.1</v>
      </c>
      <c r="N191">
        <v>188.9</v>
      </c>
      <c r="O191">
        <v>174.2</v>
      </c>
      <c r="P191">
        <v>181.9</v>
      </c>
      <c r="Q191">
        <v>172.4</v>
      </c>
      <c r="R191" s="12">
        <f t="shared" si="11"/>
        <v>6.0270602706027132E-2</v>
      </c>
      <c r="S191">
        <v>192.9</v>
      </c>
      <c r="T191">
        <v>180.7</v>
      </c>
      <c r="U191">
        <v>178.7</v>
      </c>
      <c r="V191">
        <v>180.4</v>
      </c>
      <c r="W191" t="s">
        <v>31</v>
      </c>
      <c r="X191">
        <v>176.7</v>
      </c>
      <c r="Y191" s="12">
        <f t="shared" si="12"/>
        <v>0.10575719649561938</v>
      </c>
      <c r="Z191">
        <v>170.3</v>
      </c>
      <c r="AA191">
        <v>178.2</v>
      </c>
      <c r="AB191" s="12">
        <f t="shared" si="13"/>
        <v>7.1557426337943333E-2</v>
      </c>
      <c r="AC191">
        <v>165.5</v>
      </c>
      <c r="AD191">
        <v>168</v>
      </c>
      <c r="AE191">
        <v>172.6</v>
      </c>
      <c r="AF191">
        <v>169.5</v>
      </c>
      <c r="AG191">
        <v>171</v>
      </c>
      <c r="AH191">
        <v>173.6</v>
      </c>
      <c r="AI191" t="str">
        <f t="shared" si="14"/>
        <v>Yes</v>
      </c>
    </row>
    <row r="192" spans="1:35" x14ac:dyDescent="0.25">
      <c r="A192" t="s">
        <v>32</v>
      </c>
      <c r="B192">
        <v>2022</v>
      </c>
      <c r="C192">
        <v>6</v>
      </c>
      <c r="D192" s="13">
        <f t="shared" si="10"/>
        <v>44713</v>
      </c>
      <c r="E192">
        <v>157.5</v>
      </c>
      <c r="F192">
        <v>223.4</v>
      </c>
      <c r="G192">
        <v>172.8</v>
      </c>
      <c r="H192">
        <v>166.4</v>
      </c>
      <c r="I192">
        <v>188.6</v>
      </c>
      <c r="J192">
        <v>174.1</v>
      </c>
      <c r="K192">
        <v>211.5</v>
      </c>
      <c r="L192">
        <v>163.6</v>
      </c>
      <c r="M192">
        <v>121.4</v>
      </c>
      <c r="N192">
        <v>183.5</v>
      </c>
      <c r="O192">
        <v>159.1</v>
      </c>
      <c r="P192">
        <v>186.3</v>
      </c>
      <c r="Q192">
        <v>179.3</v>
      </c>
      <c r="R192" s="12">
        <f t="shared" si="11"/>
        <v>4.0023201856148521E-2</v>
      </c>
      <c r="S192">
        <v>198.3</v>
      </c>
      <c r="T192">
        <v>171.6</v>
      </c>
      <c r="U192">
        <v>157.4</v>
      </c>
      <c r="V192">
        <v>169.4</v>
      </c>
      <c r="W192">
        <v>166.8</v>
      </c>
      <c r="X192">
        <v>174.9</v>
      </c>
      <c r="Y192" s="12">
        <f t="shared" si="12"/>
        <v>-1.0186757215619598E-2</v>
      </c>
      <c r="Z192">
        <v>162.1</v>
      </c>
      <c r="AA192">
        <v>170.9</v>
      </c>
      <c r="AB192" s="12">
        <f t="shared" si="13"/>
        <v>-4.0965207631874202E-2</v>
      </c>
      <c r="AC192">
        <v>157.19999999999999</v>
      </c>
      <c r="AD192">
        <v>164.1</v>
      </c>
      <c r="AE192">
        <v>166.5</v>
      </c>
      <c r="AF192">
        <v>169.2</v>
      </c>
      <c r="AG192">
        <v>163.80000000000001</v>
      </c>
      <c r="AH192">
        <v>171.4</v>
      </c>
      <c r="AI192" t="str">
        <f t="shared" si="14"/>
        <v>Yes</v>
      </c>
    </row>
    <row r="193" spans="1:35" x14ac:dyDescent="0.25">
      <c r="A193" t="s">
        <v>33</v>
      </c>
      <c r="B193">
        <v>2022</v>
      </c>
      <c r="C193">
        <v>6</v>
      </c>
      <c r="D193" s="13">
        <f t="shared" si="10"/>
        <v>44713</v>
      </c>
      <c r="E193">
        <v>155</v>
      </c>
      <c r="F193">
        <v>219.4</v>
      </c>
      <c r="G193">
        <v>170.8</v>
      </c>
      <c r="H193">
        <v>165.8</v>
      </c>
      <c r="I193">
        <v>200.9</v>
      </c>
      <c r="J193">
        <v>169.7</v>
      </c>
      <c r="K193">
        <v>182.3</v>
      </c>
      <c r="L193">
        <v>164.3</v>
      </c>
      <c r="M193">
        <v>119.9</v>
      </c>
      <c r="N193">
        <v>187.1</v>
      </c>
      <c r="O193">
        <v>167.9</v>
      </c>
      <c r="P193">
        <v>183.9</v>
      </c>
      <c r="Q193">
        <v>174.9</v>
      </c>
      <c r="R193" s="12">
        <f t="shared" si="11"/>
        <v>-2.4539877300613529E-2</v>
      </c>
      <c r="S193">
        <v>194.3</v>
      </c>
      <c r="T193">
        <v>177.1</v>
      </c>
      <c r="U193">
        <v>169.9</v>
      </c>
      <c r="V193">
        <v>176</v>
      </c>
      <c r="W193">
        <v>166.8</v>
      </c>
      <c r="X193">
        <v>176</v>
      </c>
      <c r="Y193" s="12">
        <f t="shared" si="12"/>
        <v>6.2893081761005963E-3</v>
      </c>
      <c r="Z193">
        <v>166.4</v>
      </c>
      <c r="AA193">
        <v>175.4</v>
      </c>
      <c r="AB193" s="12">
        <f t="shared" si="13"/>
        <v>2.6331187829139846E-2</v>
      </c>
      <c r="AC193">
        <v>161.1</v>
      </c>
      <c r="AD193">
        <v>165.8</v>
      </c>
      <c r="AE193">
        <v>169</v>
      </c>
      <c r="AF193">
        <v>169.4</v>
      </c>
      <c r="AG193">
        <v>167.5</v>
      </c>
      <c r="AH193">
        <v>172.6</v>
      </c>
      <c r="AI193" t="str">
        <f t="shared" si="14"/>
        <v>Yes</v>
      </c>
    </row>
    <row r="194" spans="1:35" x14ac:dyDescent="0.25">
      <c r="A194" t="s">
        <v>30</v>
      </c>
      <c r="B194">
        <v>2013</v>
      </c>
      <c r="C194">
        <v>7</v>
      </c>
      <c r="D194" s="13">
        <f t="shared" si="10"/>
        <v>41456</v>
      </c>
      <c r="E194">
        <v>113.4</v>
      </c>
      <c r="F194">
        <v>114.9</v>
      </c>
      <c r="G194">
        <v>110.5</v>
      </c>
      <c r="H194">
        <v>109.3</v>
      </c>
      <c r="I194">
        <v>106.2</v>
      </c>
      <c r="J194">
        <v>110.3</v>
      </c>
      <c r="K194">
        <v>129.19999999999999</v>
      </c>
      <c r="L194">
        <v>107.1</v>
      </c>
      <c r="M194">
        <v>104.3</v>
      </c>
      <c r="N194">
        <v>106.4</v>
      </c>
      <c r="O194">
        <v>109.1</v>
      </c>
      <c r="P194">
        <v>112.1</v>
      </c>
      <c r="Q194">
        <v>113.1</v>
      </c>
      <c r="R194" s="12">
        <f t="shared" si="11"/>
        <v>-0.35334476843910811</v>
      </c>
      <c r="S194">
        <v>109.8</v>
      </c>
      <c r="T194">
        <v>110.5</v>
      </c>
      <c r="U194">
        <v>109.5</v>
      </c>
      <c r="V194">
        <v>110.3</v>
      </c>
      <c r="W194" t="s">
        <v>31</v>
      </c>
      <c r="X194">
        <v>109.5</v>
      </c>
      <c r="Y194" s="12">
        <f t="shared" si="12"/>
        <v>-0.37784090909090912</v>
      </c>
      <c r="Z194">
        <v>108.3</v>
      </c>
      <c r="AA194">
        <v>106.9</v>
      </c>
      <c r="AB194" s="12">
        <f t="shared" si="13"/>
        <v>-0.39053591790193842</v>
      </c>
      <c r="AC194">
        <v>106.8</v>
      </c>
      <c r="AD194">
        <v>106.4</v>
      </c>
      <c r="AE194">
        <v>107.8</v>
      </c>
      <c r="AF194">
        <v>102.5</v>
      </c>
      <c r="AG194">
        <v>106.5</v>
      </c>
      <c r="AH194">
        <v>110.7</v>
      </c>
      <c r="AI194" t="str">
        <f t="shared" si="14"/>
        <v>No</v>
      </c>
    </row>
    <row r="195" spans="1:35" x14ac:dyDescent="0.25">
      <c r="A195" t="s">
        <v>32</v>
      </c>
      <c r="B195">
        <v>2013</v>
      </c>
      <c r="C195">
        <v>7</v>
      </c>
      <c r="D195" s="13">
        <f t="shared" ref="D195:D258" si="15">DATE(B195,C195,1)</f>
        <v>41456</v>
      </c>
      <c r="E195">
        <v>117.8</v>
      </c>
      <c r="F195">
        <v>119.2</v>
      </c>
      <c r="G195">
        <v>114</v>
      </c>
      <c r="H195">
        <v>108.3</v>
      </c>
      <c r="I195">
        <v>101.1</v>
      </c>
      <c r="J195">
        <v>113.2</v>
      </c>
      <c r="K195">
        <v>160.9</v>
      </c>
      <c r="L195">
        <v>105.1</v>
      </c>
      <c r="M195">
        <v>101.3</v>
      </c>
      <c r="N195">
        <v>107.5</v>
      </c>
      <c r="O195">
        <v>110.4</v>
      </c>
      <c r="P195">
        <v>113.1</v>
      </c>
      <c r="Q195">
        <v>117.5</v>
      </c>
      <c r="R195" s="12">
        <f t="shared" ref="R195:R258" si="16">(Q195-Q194)/Q194</f>
        <v>3.8903625110521714E-2</v>
      </c>
      <c r="S195">
        <v>111.7</v>
      </c>
      <c r="T195">
        <v>109.8</v>
      </c>
      <c r="U195">
        <v>107.8</v>
      </c>
      <c r="V195">
        <v>109.5</v>
      </c>
      <c r="W195">
        <v>107.7</v>
      </c>
      <c r="X195">
        <v>108.6</v>
      </c>
      <c r="Y195" s="12">
        <f t="shared" ref="Y195:Y258" si="17">(X195-X194)/X194</f>
        <v>-8.2191780821918321E-3</v>
      </c>
      <c r="Z195">
        <v>108.1</v>
      </c>
      <c r="AA195">
        <v>107.1</v>
      </c>
      <c r="AB195" s="12">
        <f t="shared" ref="AB195:AB258" si="18">(AA195-AA194)/AA194</f>
        <v>1.8709073900840844E-3</v>
      </c>
      <c r="AC195">
        <v>107.3</v>
      </c>
      <c r="AD195">
        <v>105.9</v>
      </c>
      <c r="AE195">
        <v>110.1</v>
      </c>
      <c r="AF195">
        <v>103.2</v>
      </c>
      <c r="AG195">
        <v>107.3</v>
      </c>
      <c r="AH195">
        <v>111.4</v>
      </c>
      <c r="AI195" t="str">
        <f t="shared" ref="AI195:AI258" si="19">IF(AND(J195&gt;150,K195&gt;150),"Yes","No")</f>
        <v>No</v>
      </c>
    </row>
    <row r="196" spans="1:35" x14ac:dyDescent="0.25">
      <c r="A196" t="s">
        <v>33</v>
      </c>
      <c r="B196">
        <v>2013</v>
      </c>
      <c r="C196">
        <v>7</v>
      </c>
      <c r="D196" s="13">
        <f t="shared" si="15"/>
        <v>41456</v>
      </c>
      <c r="E196">
        <v>114.8</v>
      </c>
      <c r="F196">
        <v>116.4</v>
      </c>
      <c r="G196">
        <v>111.9</v>
      </c>
      <c r="H196">
        <v>108.9</v>
      </c>
      <c r="I196">
        <v>104.3</v>
      </c>
      <c r="J196">
        <v>111.7</v>
      </c>
      <c r="K196">
        <v>140</v>
      </c>
      <c r="L196">
        <v>106.4</v>
      </c>
      <c r="M196">
        <v>103.3</v>
      </c>
      <c r="N196">
        <v>106.8</v>
      </c>
      <c r="O196">
        <v>109.6</v>
      </c>
      <c r="P196">
        <v>112.6</v>
      </c>
      <c r="Q196">
        <v>114.7</v>
      </c>
      <c r="R196" s="12">
        <f t="shared" si="16"/>
        <v>-2.382978723404253E-2</v>
      </c>
      <c r="S196">
        <v>110.3</v>
      </c>
      <c r="T196">
        <v>110.2</v>
      </c>
      <c r="U196">
        <v>108.8</v>
      </c>
      <c r="V196">
        <v>110</v>
      </c>
      <c r="W196">
        <v>107.7</v>
      </c>
      <c r="X196">
        <v>109.2</v>
      </c>
      <c r="Y196" s="12">
        <f t="shared" si="17"/>
        <v>5.5248618784531174E-3</v>
      </c>
      <c r="Z196">
        <v>108.2</v>
      </c>
      <c r="AA196">
        <v>107</v>
      </c>
      <c r="AB196" s="12">
        <f t="shared" si="18"/>
        <v>-9.3370681605970426E-4</v>
      </c>
      <c r="AC196">
        <v>107.1</v>
      </c>
      <c r="AD196">
        <v>106.1</v>
      </c>
      <c r="AE196">
        <v>109.1</v>
      </c>
      <c r="AF196">
        <v>102.8</v>
      </c>
      <c r="AG196">
        <v>106.9</v>
      </c>
      <c r="AH196">
        <v>111</v>
      </c>
      <c r="AI196" t="str">
        <f t="shared" si="19"/>
        <v>No</v>
      </c>
    </row>
    <row r="197" spans="1:35" x14ac:dyDescent="0.25">
      <c r="A197" t="s">
        <v>30</v>
      </c>
      <c r="B197">
        <v>2014</v>
      </c>
      <c r="C197">
        <v>7</v>
      </c>
      <c r="D197" s="13">
        <f t="shared" si="15"/>
        <v>41821</v>
      </c>
      <c r="E197">
        <v>121.7</v>
      </c>
      <c r="F197">
        <v>122.5</v>
      </c>
      <c r="G197">
        <v>117.7</v>
      </c>
      <c r="H197">
        <v>120.6</v>
      </c>
      <c r="I197">
        <v>110.4</v>
      </c>
      <c r="J197">
        <v>129.1</v>
      </c>
      <c r="K197">
        <v>150.1</v>
      </c>
      <c r="L197">
        <v>113.2</v>
      </c>
      <c r="M197">
        <v>104.8</v>
      </c>
      <c r="N197">
        <v>113.3</v>
      </c>
      <c r="O197">
        <v>115.6</v>
      </c>
      <c r="P197">
        <v>120.9</v>
      </c>
      <c r="Q197">
        <v>123.3</v>
      </c>
      <c r="R197" s="12">
        <f t="shared" si="16"/>
        <v>7.4978204010462027E-2</v>
      </c>
      <c r="S197">
        <v>118</v>
      </c>
      <c r="T197">
        <v>120.7</v>
      </c>
      <c r="U197">
        <v>118.3</v>
      </c>
      <c r="V197">
        <v>120.3</v>
      </c>
      <c r="W197" t="s">
        <v>31</v>
      </c>
      <c r="X197">
        <v>115.3</v>
      </c>
      <c r="Y197" s="12">
        <f t="shared" si="17"/>
        <v>5.5860805860805808E-2</v>
      </c>
      <c r="Z197">
        <v>115.4</v>
      </c>
      <c r="AA197">
        <v>113.4</v>
      </c>
      <c r="AB197" s="12">
        <f t="shared" si="18"/>
        <v>5.9813084112149584E-2</v>
      </c>
      <c r="AC197">
        <v>113.2</v>
      </c>
      <c r="AD197">
        <v>111.8</v>
      </c>
      <c r="AE197">
        <v>115.5</v>
      </c>
      <c r="AF197">
        <v>108.8</v>
      </c>
      <c r="AG197">
        <v>113.1</v>
      </c>
      <c r="AH197">
        <v>119.5</v>
      </c>
      <c r="AI197" t="str">
        <f t="shared" si="19"/>
        <v>No</v>
      </c>
    </row>
    <row r="198" spans="1:35" x14ac:dyDescent="0.25">
      <c r="A198" t="s">
        <v>32</v>
      </c>
      <c r="B198">
        <v>2014</v>
      </c>
      <c r="C198">
        <v>7</v>
      </c>
      <c r="D198" s="13">
        <f t="shared" si="15"/>
        <v>41821</v>
      </c>
      <c r="E198">
        <v>123.8</v>
      </c>
      <c r="F198">
        <v>126.4</v>
      </c>
      <c r="G198">
        <v>118</v>
      </c>
      <c r="H198">
        <v>121.6</v>
      </c>
      <c r="I198">
        <v>103.5</v>
      </c>
      <c r="J198">
        <v>133.69999999999999</v>
      </c>
      <c r="K198">
        <v>172.4</v>
      </c>
      <c r="L198">
        <v>113.1</v>
      </c>
      <c r="M198">
        <v>102.7</v>
      </c>
      <c r="N198">
        <v>120</v>
      </c>
      <c r="O198">
        <v>113.8</v>
      </c>
      <c r="P198">
        <v>123.4</v>
      </c>
      <c r="Q198">
        <v>127.1</v>
      </c>
      <c r="R198" s="12">
        <f t="shared" si="16"/>
        <v>3.081914030819138E-2</v>
      </c>
      <c r="S198">
        <v>121</v>
      </c>
      <c r="T198">
        <v>118</v>
      </c>
      <c r="U198">
        <v>113.6</v>
      </c>
      <c r="V198">
        <v>117.4</v>
      </c>
      <c r="W198">
        <v>114.8</v>
      </c>
      <c r="X198">
        <v>111.6</v>
      </c>
      <c r="Y198" s="12">
        <f t="shared" si="17"/>
        <v>-3.2090199479618414E-2</v>
      </c>
      <c r="Z198">
        <v>114.9</v>
      </c>
      <c r="AA198">
        <v>111.5</v>
      </c>
      <c r="AB198" s="12">
        <f t="shared" si="18"/>
        <v>-1.6754850088183469E-2</v>
      </c>
      <c r="AC198">
        <v>113</v>
      </c>
      <c r="AD198">
        <v>112.4</v>
      </c>
      <c r="AE198">
        <v>117.8</v>
      </c>
      <c r="AF198">
        <v>109.7</v>
      </c>
      <c r="AG198">
        <v>113.5</v>
      </c>
      <c r="AH198">
        <v>118.9</v>
      </c>
      <c r="AI198" t="str">
        <f t="shared" si="19"/>
        <v>No</v>
      </c>
    </row>
    <row r="199" spans="1:35" x14ac:dyDescent="0.25">
      <c r="A199" t="s">
        <v>33</v>
      </c>
      <c r="B199">
        <v>2014</v>
      </c>
      <c r="C199">
        <v>7</v>
      </c>
      <c r="D199" s="13">
        <f t="shared" si="15"/>
        <v>41821</v>
      </c>
      <c r="E199">
        <v>122.4</v>
      </c>
      <c r="F199">
        <v>123.9</v>
      </c>
      <c r="G199">
        <v>117.8</v>
      </c>
      <c r="H199">
        <v>121</v>
      </c>
      <c r="I199">
        <v>107.9</v>
      </c>
      <c r="J199">
        <v>131.19999999999999</v>
      </c>
      <c r="K199">
        <v>157.69999999999999</v>
      </c>
      <c r="L199">
        <v>113.2</v>
      </c>
      <c r="M199">
        <v>104.1</v>
      </c>
      <c r="N199">
        <v>115.5</v>
      </c>
      <c r="O199">
        <v>114.8</v>
      </c>
      <c r="P199">
        <v>122.1</v>
      </c>
      <c r="Q199">
        <v>124.7</v>
      </c>
      <c r="R199" s="12">
        <f t="shared" si="16"/>
        <v>-1.8882769472855953E-2</v>
      </c>
      <c r="S199">
        <v>118.8</v>
      </c>
      <c r="T199">
        <v>119.6</v>
      </c>
      <c r="U199">
        <v>116.3</v>
      </c>
      <c r="V199">
        <v>119.1</v>
      </c>
      <c r="W199">
        <v>114.8</v>
      </c>
      <c r="X199">
        <v>113.9</v>
      </c>
      <c r="Y199" s="12">
        <f t="shared" si="17"/>
        <v>2.0609318996415875E-2</v>
      </c>
      <c r="Z199">
        <v>115.2</v>
      </c>
      <c r="AA199">
        <v>112.7</v>
      </c>
      <c r="AB199" s="12">
        <f t="shared" si="18"/>
        <v>1.0762331838565047E-2</v>
      </c>
      <c r="AC199">
        <v>113.1</v>
      </c>
      <c r="AD199">
        <v>112.1</v>
      </c>
      <c r="AE199">
        <v>116.8</v>
      </c>
      <c r="AF199">
        <v>109.2</v>
      </c>
      <c r="AG199">
        <v>113.3</v>
      </c>
      <c r="AH199">
        <v>119.2</v>
      </c>
      <c r="AI199" t="str">
        <f t="shared" si="19"/>
        <v>No</v>
      </c>
    </row>
    <row r="200" spans="1:35" x14ac:dyDescent="0.25">
      <c r="A200" t="s">
        <v>30</v>
      </c>
      <c r="B200">
        <v>2015</v>
      </c>
      <c r="C200">
        <v>7</v>
      </c>
      <c r="D200" s="13">
        <f t="shared" si="15"/>
        <v>42186</v>
      </c>
      <c r="E200">
        <v>124</v>
      </c>
      <c r="F200">
        <v>131.5</v>
      </c>
      <c r="G200">
        <v>122</v>
      </c>
      <c r="H200">
        <v>128.69999999999999</v>
      </c>
      <c r="I200">
        <v>113.5</v>
      </c>
      <c r="J200">
        <v>133.30000000000001</v>
      </c>
      <c r="K200">
        <v>140.80000000000001</v>
      </c>
      <c r="L200">
        <v>133.80000000000001</v>
      </c>
      <c r="M200">
        <v>94.1</v>
      </c>
      <c r="N200">
        <v>123.4</v>
      </c>
      <c r="O200">
        <v>121</v>
      </c>
      <c r="P200">
        <v>131.69999999999999</v>
      </c>
      <c r="Q200">
        <v>127.5</v>
      </c>
      <c r="R200" s="12">
        <f t="shared" si="16"/>
        <v>2.2453889334402542E-2</v>
      </c>
      <c r="S200">
        <v>129.4</v>
      </c>
      <c r="T200">
        <v>128.80000000000001</v>
      </c>
      <c r="U200">
        <v>125.5</v>
      </c>
      <c r="V200">
        <v>128.30000000000001</v>
      </c>
      <c r="W200" t="s">
        <v>31</v>
      </c>
      <c r="X200">
        <v>123</v>
      </c>
      <c r="Y200" s="12">
        <f t="shared" si="17"/>
        <v>7.9894644424934103E-2</v>
      </c>
      <c r="Z200">
        <v>123</v>
      </c>
      <c r="AA200">
        <v>120.8</v>
      </c>
      <c r="AB200" s="12">
        <f t="shared" si="18"/>
        <v>7.1872227151730209E-2</v>
      </c>
      <c r="AC200">
        <v>114.1</v>
      </c>
      <c r="AD200">
        <v>118</v>
      </c>
      <c r="AE200">
        <v>122.9</v>
      </c>
      <c r="AF200">
        <v>112.7</v>
      </c>
      <c r="AG200">
        <v>118.1</v>
      </c>
      <c r="AH200">
        <v>124.7</v>
      </c>
      <c r="AI200" t="str">
        <f t="shared" si="19"/>
        <v>No</v>
      </c>
    </row>
    <row r="201" spans="1:35" x14ac:dyDescent="0.25">
      <c r="A201" t="s">
        <v>32</v>
      </c>
      <c r="B201">
        <v>2015</v>
      </c>
      <c r="C201">
        <v>7</v>
      </c>
      <c r="D201" s="13">
        <f t="shared" si="15"/>
        <v>42186</v>
      </c>
      <c r="E201">
        <v>123.2</v>
      </c>
      <c r="F201">
        <v>134.30000000000001</v>
      </c>
      <c r="G201">
        <v>119.5</v>
      </c>
      <c r="H201">
        <v>127.7</v>
      </c>
      <c r="I201">
        <v>106.3</v>
      </c>
      <c r="J201">
        <v>132.80000000000001</v>
      </c>
      <c r="K201">
        <v>153.5</v>
      </c>
      <c r="L201">
        <v>149.5</v>
      </c>
      <c r="M201">
        <v>85.7</v>
      </c>
      <c r="N201">
        <v>131.5</v>
      </c>
      <c r="O201">
        <v>118.3</v>
      </c>
      <c r="P201">
        <v>131.1</v>
      </c>
      <c r="Q201">
        <v>129.5</v>
      </c>
      <c r="R201" s="12">
        <f t="shared" si="16"/>
        <v>1.5686274509803921E-2</v>
      </c>
      <c r="S201">
        <v>133.1</v>
      </c>
      <c r="T201">
        <v>123.5</v>
      </c>
      <c r="U201">
        <v>117.9</v>
      </c>
      <c r="V201">
        <v>122.7</v>
      </c>
      <c r="W201">
        <v>119.9</v>
      </c>
      <c r="X201">
        <v>115.3</v>
      </c>
      <c r="Y201" s="12">
        <f t="shared" si="17"/>
        <v>-6.2601626016260181E-2</v>
      </c>
      <c r="Z201">
        <v>119.5</v>
      </c>
      <c r="AA201">
        <v>116</v>
      </c>
      <c r="AB201" s="12">
        <f t="shared" si="18"/>
        <v>-3.9735099337748318E-2</v>
      </c>
      <c r="AC201">
        <v>111.5</v>
      </c>
      <c r="AD201">
        <v>116.6</v>
      </c>
      <c r="AE201">
        <v>125.4</v>
      </c>
      <c r="AF201">
        <v>111.7</v>
      </c>
      <c r="AG201">
        <v>116.3</v>
      </c>
      <c r="AH201">
        <v>122.4</v>
      </c>
      <c r="AI201" t="str">
        <f t="shared" si="19"/>
        <v>No</v>
      </c>
    </row>
    <row r="202" spans="1:35" x14ac:dyDescent="0.25">
      <c r="A202" t="s">
        <v>33</v>
      </c>
      <c r="B202">
        <v>2015</v>
      </c>
      <c r="C202">
        <v>7</v>
      </c>
      <c r="D202" s="13">
        <f t="shared" si="15"/>
        <v>42186</v>
      </c>
      <c r="E202">
        <v>123.7</v>
      </c>
      <c r="F202">
        <v>132.5</v>
      </c>
      <c r="G202">
        <v>121</v>
      </c>
      <c r="H202">
        <v>128.30000000000001</v>
      </c>
      <c r="I202">
        <v>110.9</v>
      </c>
      <c r="J202">
        <v>133.1</v>
      </c>
      <c r="K202">
        <v>145.1</v>
      </c>
      <c r="L202">
        <v>139.1</v>
      </c>
      <c r="M202">
        <v>91.3</v>
      </c>
      <c r="N202">
        <v>126.1</v>
      </c>
      <c r="O202">
        <v>119.9</v>
      </c>
      <c r="P202">
        <v>131.4</v>
      </c>
      <c r="Q202">
        <v>128.19999999999999</v>
      </c>
      <c r="R202" s="12">
        <f t="shared" si="16"/>
        <v>-1.0038610038610127E-2</v>
      </c>
      <c r="S202">
        <v>130.4</v>
      </c>
      <c r="T202">
        <v>126.7</v>
      </c>
      <c r="U202">
        <v>122.3</v>
      </c>
      <c r="V202">
        <v>126.1</v>
      </c>
      <c r="W202">
        <v>119.9</v>
      </c>
      <c r="X202">
        <v>120.1</v>
      </c>
      <c r="Y202" s="12">
        <f t="shared" si="17"/>
        <v>4.1630529054640049E-2</v>
      </c>
      <c r="Z202">
        <v>121.3</v>
      </c>
      <c r="AA202">
        <v>119</v>
      </c>
      <c r="AB202" s="12">
        <f t="shared" si="18"/>
        <v>2.5862068965517241E-2</v>
      </c>
      <c r="AC202">
        <v>112.7</v>
      </c>
      <c r="AD202">
        <v>117.2</v>
      </c>
      <c r="AE202">
        <v>124.4</v>
      </c>
      <c r="AF202">
        <v>112.3</v>
      </c>
      <c r="AG202">
        <v>117.2</v>
      </c>
      <c r="AH202">
        <v>123.6</v>
      </c>
      <c r="AI202" t="str">
        <f t="shared" si="19"/>
        <v>No</v>
      </c>
    </row>
    <row r="203" spans="1:35" x14ac:dyDescent="0.25">
      <c r="A203" t="s">
        <v>30</v>
      </c>
      <c r="B203">
        <v>2016</v>
      </c>
      <c r="C203">
        <v>7</v>
      </c>
      <c r="D203" s="13">
        <f t="shared" si="15"/>
        <v>42552</v>
      </c>
      <c r="E203">
        <v>129.30000000000001</v>
      </c>
      <c r="F203">
        <v>139.5</v>
      </c>
      <c r="G203">
        <v>129.6</v>
      </c>
      <c r="H203">
        <v>134.5</v>
      </c>
      <c r="I203">
        <v>119.5</v>
      </c>
      <c r="J203">
        <v>138.5</v>
      </c>
      <c r="K203">
        <v>158.19999999999999</v>
      </c>
      <c r="L203">
        <v>171.8</v>
      </c>
      <c r="M203">
        <v>110.3</v>
      </c>
      <c r="N203">
        <v>134.30000000000001</v>
      </c>
      <c r="O203">
        <v>127.3</v>
      </c>
      <c r="P203">
        <v>139.9</v>
      </c>
      <c r="Q203">
        <v>137.6</v>
      </c>
      <c r="R203" s="12">
        <f t="shared" si="16"/>
        <v>7.3322932917316744E-2</v>
      </c>
      <c r="S203">
        <v>138</v>
      </c>
      <c r="T203">
        <v>137.19999999999999</v>
      </c>
      <c r="U203">
        <v>132.19999999999999</v>
      </c>
      <c r="V203">
        <v>136.5</v>
      </c>
      <c r="W203" t="s">
        <v>31</v>
      </c>
      <c r="X203">
        <v>128.19999999999999</v>
      </c>
      <c r="Y203" s="12">
        <f t="shared" si="17"/>
        <v>6.7443796835969974E-2</v>
      </c>
      <c r="Z203">
        <v>130</v>
      </c>
      <c r="AA203">
        <v>126.7</v>
      </c>
      <c r="AB203" s="12">
        <f t="shared" si="18"/>
        <v>6.4705882352941196E-2</v>
      </c>
      <c r="AC203">
        <v>116.4</v>
      </c>
      <c r="AD203">
        <v>125.2</v>
      </c>
      <c r="AE203">
        <v>130.80000000000001</v>
      </c>
      <c r="AF203">
        <v>120.9</v>
      </c>
      <c r="AG203">
        <v>123.8</v>
      </c>
      <c r="AH203">
        <v>133</v>
      </c>
      <c r="AI203" t="str">
        <f t="shared" si="19"/>
        <v>No</v>
      </c>
    </row>
    <row r="204" spans="1:35" x14ac:dyDescent="0.25">
      <c r="A204" t="s">
        <v>32</v>
      </c>
      <c r="B204">
        <v>2016</v>
      </c>
      <c r="C204">
        <v>7</v>
      </c>
      <c r="D204" s="13">
        <f t="shared" si="15"/>
        <v>42552</v>
      </c>
      <c r="E204">
        <v>126.8</v>
      </c>
      <c r="F204">
        <v>144.19999999999999</v>
      </c>
      <c r="G204">
        <v>136.6</v>
      </c>
      <c r="H204">
        <v>131.80000000000001</v>
      </c>
      <c r="I204">
        <v>111</v>
      </c>
      <c r="J204">
        <v>137</v>
      </c>
      <c r="K204">
        <v>179.5</v>
      </c>
      <c r="L204">
        <v>188.4</v>
      </c>
      <c r="M204">
        <v>113.3</v>
      </c>
      <c r="N204">
        <v>143.9</v>
      </c>
      <c r="O204">
        <v>121.7</v>
      </c>
      <c r="P204">
        <v>137.5</v>
      </c>
      <c r="Q204">
        <v>139.80000000000001</v>
      </c>
      <c r="R204" s="12">
        <f t="shared" si="16"/>
        <v>1.5988372093023381E-2</v>
      </c>
      <c r="S204">
        <v>142.9</v>
      </c>
      <c r="T204">
        <v>127.9</v>
      </c>
      <c r="U204">
        <v>121.1</v>
      </c>
      <c r="V204">
        <v>126.9</v>
      </c>
      <c r="W204">
        <v>126.4</v>
      </c>
      <c r="X204">
        <v>115.5</v>
      </c>
      <c r="Y204" s="12">
        <f t="shared" si="17"/>
        <v>-9.9063962558502264E-2</v>
      </c>
      <c r="Z204">
        <v>123.5</v>
      </c>
      <c r="AA204">
        <v>120.9</v>
      </c>
      <c r="AB204" s="12">
        <f t="shared" si="18"/>
        <v>-4.577742699289658E-2</v>
      </c>
      <c r="AC204">
        <v>111.7</v>
      </c>
      <c r="AD204">
        <v>120.3</v>
      </c>
      <c r="AE204">
        <v>130.80000000000001</v>
      </c>
      <c r="AF204">
        <v>120</v>
      </c>
      <c r="AG204">
        <v>119.9</v>
      </c>
      <c r="AH204">
        <v>129</v>
      </c>
      <c r="AI204" t="str">
        <f t="shared" si="19"/>
        <v>No</v>
      </c>
    </row>
    <row r="205" spans="1:35" x14ac:dyDescent="0.25">
      <c r="A205" t="s">
        <v>33</v>
      </c>
      <c r="B205">
        <v>2016</v>
      </c>
      <c r="C205">
        <v>7</v>
      </c>
      <c r="D205" s="13">
        <f t="shared" si="15"/>
        <v>42552</v>
      </c>
      <c r="E205">
        <v>128.5</v>
      </c>
      <c r="F205">
        <v>141.19999999999999</v>
      </c>
      <c r="G205">
        <v>132.30000000000001</v>
      </c>
      <c r="H205">
        <v>133.5</v>
      </c>
      <c r="I205">
        <v>116.4</v>
      </c>
      <c r="J205">
        <v>137.80000000000001</v>
      </c>
      <c r="K205">
        <v>165.4</v>
      </c>
      <c r="L205">
        <v>177.4</v>
      </c>
      <c r="M205">
        <v>111.3</v>
      </c>
      <c r="N205">
        <v>137.5</v>
      </c>
      <c r="O205">
        <v>125</v>
      </c>
      <c r="P205">
        <v>138.80000000000001</v>
      </c>
      <c r="Q205">
        <v>138.4</v>
      </c>
      <c r="R205" s="12">
        <f t="shared" si="16"/>
        <v>-1.0014306151645247E-2</v>
      </c>
      <c r="S205">
        <v>139.30000000000001</v>
      </c>
      <c r="T205">
        <v>133.5</v>
      </c>
      <c r="U205">
        <v>127.6</v>
      </c>
      <c r="V205">
        <v>132.69999999999999</v>
      </c>
      <c r="W205">
        <v>126.4</v>
      </c>
      <c r="X205">
        <v>123.4</v>
      </c>
      <c r="Y205" s="12">
        <f t="shared" si="17"/>
        <v>6.8398268398268444E-2</v>
      </c>
      <c r="Z205">
        <v>126.9</v>
      </c>
      <c r="AA205">
        <v>124.5</v>
      </c>
      <c r="AB205" s="12">
        <f t="shared" si="18"/>
        <v>2.9776674937965212E-2</v>
      </c>
      <c r="AC205">
        <v>113.9</v>
      </c>
      <c r="AD205">
        <v>122.4</v>
      </c>
      <c r="AE205">
        <v>130.80000000000001</v>
      </c>
      <c r="AF205">
        <v>120.5</v>
      </c>
      <c r="AG205">
        <v>121.9</v>
      </c>
      <c r="AH205">
        <v>131.1</v>
      </c>
      <c r="AI205" t="str">
        <f t="shared" si="19"/>
        <v>No</v>
      </c>
    </row>
    <row r="206" spans="1:35" x14ac:dyDescent="0.25">
      <c r="A206" t="s">
        <v>30</v>
      </c>
      <c r="B206">
        <v>2017</v>
      </c>
      <c r="C206">
        <v>7</v>
      </c>
      <c r="D206" s="13">
        <f t="shared" si="15"/>
        <v>42917</v>
      </c>
      <c r="E206">
        <v>134</v>
      </c>
      <c r="F206">
        <v>144.19999999999999</v>
      </c>
      <c r="G206">
        <v>129.80000000000001</v>
      </c>
      <c r="H206">
        <v>139</v>
      </c>
      <c r="I206">
        <v>120.9</v>
      </c>
      <c r="J206">
        <v>143.9</v>
      </c>
      <c r="K206">
        <v>151.5</v>
      </c>
      <c r="L206">
        <v>138.1</v>
      </c>
      <c r="M206">
        <v>120</v>
      </c>
      <c r="N206">
        <v>133.9</v>
      </c>
      <c r="O206">
        <v>131.4</v>
      </c>
      <c r="P206">
        <v>147.69999999999999</v>
      </c>
      <c r="Q206">
        <v>138.5</v>
      </c>
      <c r="R206" s="12">
        <f t="shared" si="16"/>
        <v>7.2254335260111494E-4</v>
      </c>
      <c r="S206">
        <v>147.4</v>
      </c>
      <c r="T206">
        <v>144.30000000000001</v>
      </c>
      <c r="U206">
        <v>138.1</v>
      </c>
      <c r="V206">
        <v>143.5</v>
      </c>
      <c r="W206" t="s">
        <v>31</v>
      </c>
      <c r="X206">
        <v>135.30000000000001</v>
      </c>
      <c r="Y206" s="12">
        <f t="shared" si="17"/>
        <v>9.6434359805510572E-2</v>
      </c>
      <c r="Z206">
        <v>136.1</v>
      </c>
      <c r="AA206">
        <v>132.1</v>
      </c>
      <c r="AB206" s="12">
        <f t="shared" si="18"/>
        <v>6.1044176706827262E-2</v>
      </c>
      <c r="AC206">
        <v>119.1</v>
      </c>
      <c r="AD206">
        <v>130.6</v>
      </c>
      <c r="AE206">
        <v>138.6</v>
      </c>
      <c r="AF206">
        <v>124.4</v>
      </c>
      <c r="AG206">
        <v>128.6</v>
      </c>
      <c r="AH206">
        <v>136.19999999999999</v>
      </c>
      <c r="AI206" t="str">
        <f t="shared" si="19"/>
        <v>No</v>
      </c>
    </row>
    <row r="207" spans="1:35" x14ac:dyDescent="0.25">
      <c r="A207" t="s">
        <v>32</v>
      </c>
      <c r="B207">
        <v>2017</v>
      </c>
      <c r="C207">
        <v>7</v>
      </c>
      <c r="D207" s="13">
        <f t="shared" si="15"/>
        <v>42917</v>
      </c>
      <c r="E207">
        <v>132.80000000000001</v>
      </c>
      <c r="F207">
        <v>148.4</v>
      </c>
      <c r="G207">
        <v>129.4</v>
      </c>
      <c r="H207">
        <v>137.69999999999999</v>
      </c>
      <c r="I207">
        <v>113.4</v>
      </c>
      <c r="J207">
        <v>139.4</v>
      </c>
      <c r="K207">
        <v>175.1</v>
      </c>
      <c r="L207">
        <v>124.7</v>
      </c>
      <c r="M207">
        <v>121.5</v>
      </c>
      <c r="N207">
        <v>137.80000000000001</v>
      </c>
      <c r="O207">
        <v>124.4</v>
      </c>
      <c r="P207">
        <v>143.69999999999999</v>
      </c>
      <c r="Q207">
        <v>139.80000000000001</v>
      </c>
      <c r="R207" s="12">
        <f t="shared" si="16"/>
        <v>9.3862815884477348E-3</v>
      </c>
      <c r="S207">
        <v>150.5</v>
      </c>
      <c r="T207">
        <v>131.6</v>
      </c>
      <c r="U207">
        <v>123.7</v>
      </c>
      <c r="V207">
        <v>130.4</v>
      </c>
      <c r="W207">
        <v>132.6</v>
      </c>
      <c r="X207">
        <v>119.7</v>
      </c>
      <c r="Y207" s="12">
        <f t="shared" si="17"/>
        <v>-0.11529933481152999</v>
      </c>
      <c r="Z207">
        <v>127.2</v>
      </c>
      <c r="AA207">
        <v>125</v>
      </c>
      <c r="AB207" s="12">
        <f t="shared" si="18"/>
        <v>-5.3747161241483682E-2</v>
      </c>
      <c r="AC207">
        <v>113.2</v>
      </c>
      <c r="AD207">
        <v>123.5</v>
      </c>
      <c r="AE207">
        <v>135.5</v>
      </c>
      <c r="AF207">
        <v>122.4</v>
      </c>
      <c r="AG207">
        <v>123</v>
      </c>
      <c r="AH207">
        <v>131.80000000000001</v>
      </c>
      <c r="AI207" t="str">
        <f t="shared" si="19"/>
        <v>No</v>
      </c>
    </row>
    <row r="208" spans="1:35" x14ac:dyDescent="0.25">
      <c r="A208" t="s">
        <v>33</v>
      </c>
      <c r="B208">
        <v>2017</v>
      </c>
      <c r="C208">
        <v>7</v>
      </c>
      <c r="D208" s="13">
        <f t="shared" si="15"/>
        <v>42917</v>
      </c>
      <c r="E208">
        <v>133.6</v>
      </c>
      <c r="F208">
        <v>145.69999999999999</v>
      </c>
      <c r="G208">
        <v>129.6</v>
      </c>
      <c r="H208">
        <v>138.5</v>
      </c>
      <c r="I208">
        <v>118.1</v>
      </c>
      <c r="J208">
        <v>141.80000000000001</v>
      </c>
      <c r="K208">
        <v>159.5</v>
      </c>
      <c r="L208">
        <v>133.6</v>
      </c>
      <c r="M208">
        <v>120.5</v>
      </c>
      <c r="N208">
        <v>135.19999999999999</v>
      </c>
      <c r="O208">
        <v>128.5</v>
      </c>
      <c r="P208">
        <v>145.80000000000001</v>
      </c>
      <c r="Q208">
        <v>139</v>
      </c>
      <c r="R208" s="12">
        <f t="shared" si="16"/>
        <v>-5.7224606580830563E-3</v>
      </c>
      <c r="S208">
        <v>148.19999999999999</v>
      </c>
      <c r="T208">
        <v>139.30000000000001</v>
      </c>
      <c r="U208">
        <v>132.1</v>
      </c>
      <c r="V208">
        <v>138.30000000000001</v>
      </c>
      <c r="W208">
        <v>132.6</v>
      </c>
      <c r="X208">
        <v>129.4</v>
      </c>
      <c r="Y208" s="12">
        <f t="shared" si="17"/>
        <v>8.1035923141186322E-2</v>
      </c>
      <c r="Z208">
        <v>131.9</v>
      </c>
      <c r="AA208">
        <v>129.4</v>
      </c>
      <c r="AB208" s="12">
        <f t="shared" si="18"/>
        <v>3.5200000000000044E-2</v>
      </c>
      <c r="AC208">
        <v>116</v>
      </c>
      <c r="AD208">
        <v>126.6</v>
      </c>
      <c r="AE208">
        <v>136.80000000000001</v>
      </c>
      <c r="AF208">
        <v>123.6</v>
      </c>
      <c r="AG208">
        <v>125.9</v>
      </c>
      <c r="AH208">
        <v>134.19999999999999</v>
      </c>
      <c r="AI208" t="str">
        <f t="shared" si="19"/>
        <v>No</v>
      </c>
    </row>
    <row r="209" spans="1:35" x14ac:dyDescent="0.25">
      <c r="A209" t="s">
        <v>30</v>
      </c>
      <c r="B209">
        <v>2018</v>
      </c>
      <c r="C209">
        <v>7</v>
      </c>
      <c r="D209" s="13">
        <f t="shared" si="15"/>
        <v>43282</v>
      </c>
      <c r="E209">
        <v>138.4</v>
      </c>
      <c r="F209">
        <v>149.30000000000001</v>
      </c>
      <c r="G209">
        <v>139.30000000000001</v>
      </c>
      <c r="H209">
        <v>143.4</v>
      </c>
      <c r="I209">
        <v>124.1</v>
      </c>
      <c r="J209">
        <v>153.30000000000001</v>
      </c>
      <c r="K209">
        <v>154.19999999999999</v>
      </c>
      <c r="L209">
        <v>126.4</v>
      </c>
      <c r="M209">
        <v>114.3</v>
      </c>
      <c r="N209">
        <v>138.19999999999999</v>
      </c>
      <c r="O209">
        <v>132.80000000000001</v>
      </c>
      <c r="P209">
        <v>154.80000000000001</v>
      </c>
      <c r="Q209">
        <v>142</v>
      </c>
      <c r="R209" s="12">
        <f t="shared" si="16"/>
        <v>2.1582733812949641E-2</v>
      </c>
      <c r="S209">
        <v>156.1</v>
      </c>
      <c r="T209">
        <v>151.5</v>
      </c>
      <c r="U209">
        <v>145.1</v>
      </c>
      <c r="V209">
        <v>150.6</v>
      </c>
      <c r="W209" t="s">
        <v>31</v>
      </c>
      <c r="X209">
        <v>146.80000000000001</v>
      </c>
      <c r="Y209" s="12">
        <f t="shared" si="17"/>
        <v>0.13446676970633697</v>
      </c>
      <c r="Z209">
        <v>143.1</v>
      </c>
      <c r="AA209">
        <v>139</v>
      </c>
      <c r="AB209" s="12">
        <f t="shared" si="18"/>
        <v>7.4188562596599644E-2</v>
      </c>
      <c r="AC209">
        <v>127.5</v>
      </c>
      <c r="AD209">
        <v>138.4</v>
      </c>
      <c r="AE209">
        <v>145.80000000000001</v>
      </c>
      <c r="AF209">
        <v>131.4</v>
      </c>
      <c r="AG209">
        <v>136</v>
      </c>
      <c r="AH209">
        <v>141.80000000000001</v>
      </c>
      <c r="AI209" t="str">
        <f t="shared" si="19"/>
        <v>Yes</v>
      </c>
    </row>
    <row r="210" spans="1:35" x14ac:dyDescent="0.25">
      <c r="A210" t="s">
        <v>32</v>
      </c>
      <c r="B210">
        <v>2018</v>
      </c>
      <c r="C210">
        <v>7</v>
      </c>
      <c r="D210" s="13">
        <f t="shared" si="15"/>
        <v>43282</v>
      </c>
      <c r="E210">
        <v>135.6</v>
      </c>
      <c r="F210">
        <v>148.6</v>
      </c>
      <c r="G210">
        <v>139.1</v>
      </c>
      <c r="H210">
        <v>141</v>
      </c>
      <c r="I210">
        <v>116.7</v>
      </c>
      <c r="J210">
        <v>149.69999999999999</v>
      </c>
      <c r="K210">
        <v>159.19999999999999</v>
      </c>
      <c r="L210">
        <v>112.6</v>
      </c>
      <c r="M210">
        <v>111.8</v>
      </c>
      <c r="N210">
        <v>140.30000000000001</v>
      </c>
      <c r="O210">
        <v>126.8</v>
      </c>
      <c r="P210">
        <v>149.4</v>
      </c>
      <c r="Q210">
        <v>140.30000000000001</v>
      </c>
      <c r="R210" s="12">
        <f t="shared" si="16"/>
        <v>-1.1971830985915413E-2</v>
      </c>
      <c r="S210">
        <v>161.4</v>
      </c>
      <c r="T210">
        <v>139.6</v>
      </c>
      <c r="U210">
        <v>128.9</v>
      </c>
      <c r="V210">
        <v>137.9</v>
      </c>
      <c r="W210">
        <v>143.6</v>
      </c>
      <c r="X210">
        <v>128.1</v>
      </c>
      <c r="Y210" s="12">
        <f t="shared" si="17"/>
        <v>-0.12738419618528621</v>
      </c>
      <c r="Z210">
        <v>133.6</v>
      </c>
      <c r="AA210">
        <v>133.6</v>
      </c>
      <c r="AB210" s="12">
        <f t="shared" si="18"/>
        <v>-3.8848920863309391E-2</v>
      </c>
      <c r="AC210">
        <v>120.1</v>
      </c>
      <c r="AD210">
        <v>129</v>
      </c>
      <c r="AE210">
        <v>144</v>
      </c>
      <c r="AF210">
        <v>128.19999999999999</v>
      </c>
      <c r="AG210">
        <v>130.19999999999999</v>
      </c>
      <c r="AH210">
        <v>137.5</v>
      </c>
      <c r="AI210" t="str">
        <f t="shared" si="19"/>
        <v>No</v>
      </c>
    </row>
    <row r="211" spans="1:35" x14ac:dyDescent="0.25">
      <c r="A211" t="s">
        <v>33</v>
      </c>
      <c r="B211">
        <v>2018</v>
      </c>
      <c r="C211">
        <v>7</v>
      </c>
      <c r="D211" s="13">
        <f t="shared" si="15"/>
        <v>43282</v>
      </c>
      <c r="E211">
        <v>137.5</v>
      </c>
      <c r="F211">
        <v>149.1</v>
      </c>
      <c r="G211">
        <v>139.19999999999999</v>
      </c>
      <c r="H211">
        <v>142.5</v>
      </c>
      <c r="I211">
        <v>121.4</v>
      </c>
      <c r="J211">
        <v>151.6</v>
      </c>
      <c r="K211">
        <v>155.9</v>
      </c>
      <c r="L211">
        <v>121.7</v>
      </c>
      <c r="M211">
        <v>113.5</v>
      </c>
      <c r="N211">
        <v>138.9</v>
      </c>
      <c r="O211">
        <v>130.30000000000001</v>
      </c>
      <c r="P211">
        <v>152.30000000000001</v>
      </c>
      <c r="Q211">
        <v>141.4</v>
      </c>
      <c r="R211" s="12">
        <f t="shared" si="16"/>
        <v>7.840342124019916E-3</v>
      </c>
      <c r="S211">
        <v>157.5</v>
      </c>
      <c r="T211">
        <v>146.80000000000001</v>
      </c>
      <c r="U211">
        <v>138.4</v>
      </c>
      <c r="V211">
        <v>145.6</v>
      </c>
      <c r="W211">
        <v>143.6</v>
      </c>
      <c r="X211">
        <v>139.69999999999999</v>
      </c>
      <c r="Y211" s="12">
        <f t="shared" si="17"/>
        <v>9.055425448868068E-2</v>
      </c>
      <c r="Z211">
        <v>138.6</v>
      </c>
      <c r="AA211">
        <v>137</v>
      </c>
      <c r="AB211" s="12">
        <f t="shared" si="18"/>
        <v>2.544910179640723E-2</v>
      </c>
      <c r="AC211">
        <v>123.6</v>
      </c>
      <c r="AD211">
        <v>133.1</v>
      </c>
      <c r="AE211">
        <v>144.69999999999999</v>
      </c>
      <c r="AF211">
        <v>130.1</v>
      </c>
      <c r="AG211">
        <v>133.19999999999999</v>
      </c>
      <c r="AH211">
        <v>139.80000000000001</v>
      </c>
      <c r="AI211" t="str">
        <f t="shared" si="19"/>
        <v>Yes</v>
      </c>
    </row>
    <row r="212" spans="1:35" x14ac:dyDescent="0.25">
      <c r="A212" t="s">
        <v>30</v>
      </c>
      <c r="B212">
        <v>2019</v>
      </c>
      <c r="C212">
        <v>7</v>
      </c>
      <c r="D212" s="13">
        <f t="shared" si="15"/>
        <v>43647</v>
      </c>
      <c r="E212">
        <v>138.4</v>
      </c>
      <c r="F212">
        <v>164</v>
      </c>
      <c r="G212">
        <v>138.4</v>
      </c>
      <c r="H212">
        <v>143.9</v>
      </c>
      <c r="I212">
        <v>124.4</v>
      </c>
      <c r="J212">
        <v>146.4</v>
      </c>
      <c r="K212">
        <v>150.1</v>
      </c>
      <c r="L212">
        <v>130.6</v>
      </c>
      <c r="M212">
        <v>110.8</v>
      </c>
      <c r="N212">
        <v>141.69999999999999</v>
      </c>
      <c r="O212">
        <v>138.5</v>
      </c>
      <c r="P212">
        <v>156.69999999999999</v>
      </c>
      <c r="Q212">
        <v>143</v>
      </c>
      <c r="R212" s="12">
        <f t="shared" si="16"/>
        <v>1.1315417256011274E-2</v>
      </c>
      <c r="S212">
        <v>164.5</v>
      </c>
      <c r="T212">
        <v>151.6</v>
      </c>
      <c r="U212">
        <v>146.6</v>
      </c>
      <c r="V212">
        <v>150.9</v>
      </c>
      <c r="W212" t="s">
        <v>31</v>
      </c>
      <c r="X212">
        <v>146.80000000000001</v>
      </c>
      <c r="Y212" s="12">
        <f t="shared" si="17"/>
        <v>5.0823192555476189E-2</v>
      </c>
      <c r="Z212">
        <v>150</v>
      </c>
      <c r="AA212">
        <v>152.19999999999999</v>
      </c>
      <c r="AB212" s="12">
        <f t="shared" si="18"/>
        <v>0.11094890510948897</v>
      </c>
      <c r="AC212">
        <v>131.19999999999999</v>
      </c>
      <c r="AD212">
        <v>147.5</v>
      </c>
      <c r="AE212">
        <v>159.1</v>
      </c>
      <c r="AF212">
        <v>136.1</v>
      </c>
      <c r="AG212">
        <v>144.19999999999999</v>
      </c>
      <c r="AH212">
        <v>144.9</v>
      </c>
      <c r="AI212" t="str">
        <f t="shared" si="19"/>
        <v>No</v>
      </c>
    </row>
    <row r="213" spans="1:35" x14ac:dyDescent="0.25">
      <c r="A213" t="s">
        <v>32</v>
      </c>
      <c r="B213">
        <v>2019</v>
      </c>
      <c r="C213">
        <v>7</v>
      </c>
      <c r="D213" s="13">
        <f t="shared" si="15"/>
        <v>43647</v>
      </c>
      <c r="E213">
        <v>141.4</v>
      </c>
      <c r="F213">
        <v>160.19999999999999</v>
      </c>
      <c r="G213">
        <v>142.5</v>
      </c>
      <c r="H213">
        <v>144.1</v>
      </c>
      <c r="I213">
        <v>119.3</v>
      </c>
      <c r="J213">
        <v>154.69999999999999</v>
      </c>
      <c r="K213">
        <v>180.1</v>
      </c>
      <c r="L213">
        <v>128.9</v>
      </c>
      <c r="M213">
        <v>111.8</v>
      </c>
      <c r="N213">
        <v>141.6</v>
      </c>
      <c r="O213">
        <v>129.5</v>
      </c>
      <c r="P213">
        <v>155.6</v>
      </c>
      <c r="Q213">
        <v>147.69999999999999</v>
      </c>
      <c r="R213" s="12">
        <f t="shared" si="16"/>
        <v>3.2867132867132789E-2</v>
      </c>
      <c r="S213">
        <v>167.2</v>
      </c>
      <c r="T213">
        <v>144.69999999999999</v>
      </c>
      <c r="U213">
        <v>131.9</v>
      </c>
      <c r="V213">
        <v>142.69999999999999</v>
      </c>
      <c r="W213">
        <v>150.6</v>
      </c>
      <c r="X213">
        <v>127</v>
      </c>
      <c r="Y213" s="12">
        <f t="shared" si="17"/>
        <v>-0.13487738419618536</v>
      </c>
      <c r="Z213">
        <v>137.69999999999999</v>
      </c>
      <c r="AA213">
        <v>140.80000000000001</v>
      </c>
      <c r="AB213" s="12">
        <f t="shared" si="18"/>
        <v>-7.4901445466491315E-2</v>
      </c>
      <c r="AC213">
        <v>120.6</v>
      </c>
      <c r="AD213">
        <v>135</v>
      </c>
      <c r="AE213">
        <v>150.4</v>
      </c>
      <c r="AF213">
        <v>135.1</v>
      </c>
      <c r="AG213">
        <v>134.5</v>
      </c>
      <c r="AH213">
        <v>143.30000000000001</v>
      </c>
      <c r="AI213" t="str">
        <f t="shared" si="19"/>
        <v>Yes</v>
      </c>
    </row>
    <row r="214" spans="1:35" x14ac:dyDescent="0.25">
      <c r="A214" t="s">
        <v>33</v>
      </c>
      <c r="B214">
        <v>2019</v>
      </c>
      <c r="C214">
        <v>7</v>
      </c>
      <c r="D214" s="13">
        <f t="shared" si="15"/>
        <v>43647</v>
      </c>
      <c r="E214">
        <v>139.30000000000001</v>
      </c>
      <c r="F214">
        <v>162.69999999999999</v>
      </c>
      <c r="G214">
        <v>140</v>
      </c>
      <c r="H214">
        <v>144</v>
      </c>
      <c r="I214">
        <v>122.5</v>
      </c>
      <c r="J214">
        <v>150.30000000000001</v>
      </c>
      <c r="K214">
        <v>160.30000000000001</v>
      </c>
      <c r="L214">
        <v>130</v>
      </c>
      <c r="M214">
        <v>111.1</v>
      </c>
      <c r="N214">
        <v>141.69999999999999</v>
      </c>
      <c r="O214">
        <v>134.69999999999999</v>
      </c>
      <c r="P214">
        <v>156.19999999999999</v>
      </c>
      <c r="Q214">
        <v>144.69999999999999</v>
      </c>
      <c r="R214" s="12">
        <f t="shared" si="16"/>
        <v>-2.0311442112389982E-2</v>
      </c>
      <c r="S214">
        <v>165.2</v>
      </c>
      <c r="T214">
        <v>148.9</v>
      </c>
      <c r="U214">
        <v>140.5</v>
      </c>
      <c r="V214">
        <v>147.6</v>
      </c>
      <c r="W214">
        <v>150.6</v>
      </c>
      <c r="X214">
        <v>139.30000000000001</v>
      </c>
      <c r="Y214" s="12">
        <f t="shared" si="17"/>
        <v>9.685039370078749E-2</v>
      </c>
      <c r="Z214">
        <v>144.19999999999999</v>
      </c>
      <c r="AA214">
        <v>147.9</v>
      </c>
      <c r="AB214" s="12">
        <f t="shared" si="18"/>
        <v>5.0426136363636319E-2</v>
      </c>
      <c r="AC214">
        <v>125.6</v>
      </c>
      <c r="AD214">
        <v>140.5</v>
      </c>
      <c r="AE214">
        <v>154</v>
      </c>
      <c r="AF214">
        <v>135.69999999999999</v>
      </c>
      <c r="AG214">
        <v>139.5</v>
      </c>
      <c r="AH214">
        <v>144.19999999999999</v>
      </c>
      <c r="AI214" t="str">
        <f t="shared" si="19"/>
        <v>Yes</v>
      </c>
    </row>
    <row r="215" spans="1:35" x14ac:dyDescent="0.25">
      <c r="A215" t="s">
        <v>30</v>
      </c>
      <c r="B215">
        <v>2020</v>
      </c>
      <c r="C215">
        <v>7</v>
      </c>
      <c r="D215" s="13">
        <f t="shared" si="15"/>
        <v>44013</v>
      </c>
      <c r="E215">
        <v>148.19999999999999</v>
      </c>
      <c r="F215">
        <v>190.3</v>
      </c>
      <c r="G215">
        <v>149.4</v>
      </c>
      <c r="H215">
        <v>153.30000000000001</v>
      </c>
      <c r="I215">
        <v>138.19999999999999</v>
      </c>
      <c r="J215">
        <v>143.19999999999999</v>
      </c>
      <c r="K215">
        <v>148.9</v>
      </c>
      <c r="L215">
        <v>150.30000000000001</v>
      </c>
      <c r="M215">
        <v>113.2</v>
      </c>
      <c r="N215">
        <v>159.80000000000001</v>
      </c>
      <c r="O215">
        <v>142.1</v>
      </c>
      <c r="P215">
        <v>161.80000000000001</v>
      </c>
      <c r="Q215">
        <v>152.30000000000001</v>
      </c>
      <c r="R215" s="12">
        <f t="shared" si="16"/>
        <v>5.252246026261246E-2</v>
      </c>
      <c r="S215">
        <v>182.4</v>
      </c>
      <c r="T215">
        <v>154.69999999999999</v>
      </c>
      <c r="U215">
        <v>150</v>
      </c>
      <c r="V215">
        <v>154.1</v>
      </c>
      <c r="W215" t="s">
        <v>31</v>
      </c>
      <c r="X215">
        <v>144.9</v>
      </c>
      <c r="Y215" s="12">
        <f t="shared" si="17"/>
        <v>4.0201005025125587E-2</v>
      </c>
      <c r="Z215">
        <v>151.69999999999999</v>
      </c>
      <c r="AA215">
        <v>158.19999999999999</v>
      </c>
      <c r="AB215" s="12">
        <f t="shared" si="18"/>
        <v>6.9641649763353505E-2</v>
      </c>
      <c r="AC215">
        <v>141.4</v>
      </c>
      <c r="AD215">
        <v>153.19999999999999</v>
      </c>
      <c r="AE215">
        <v>161.80000000000001</v>
      </c>
      <c r="AF215">
        <v>151.19999999999999</v>
      </c>
      <c r="AG215">
        <v>151.69999999999999</v>
      </c>
      <c r="AH215">
        <v>152.69999999999999</v>
      </c>
      <c r="AI215" t="str">
        <f t="shared" si="19"/>
        <v>No</v>
      </c>
    </row>
    <row r="216" spans="1:35" x14ac:dyDescent="0.25">
      <c r="A216" t="s">
        <v>32</v>
      </c>
      <c r="B216">
        <v>2020</v>
      </c>
      <c r="C216">
        <v>7</v>
      </c>
      <c r="D216" s="13">
        <f t="shared" si="15"/>
        <v>44013</v>
      </c>
      <c r="E216">
        <v>152.69999999999999</v>
      </c>
      <c r="F216">
        <v>197</v>
      </c>
      <c r="G216">
        <v>154.6</v>
      </c>
      <c r="H216">
        <v>153.4</v>
      </c>
      <c r="I216">
        <v>132.9</v>
      </c>
      <c r="J216">
        <v>151.80000000000001</v>
      </c>
      <c r="K216">
        <v>171.2</v>
      </c>
      <c r="L216">
        <v>152</v>
      </c>
      <c r="M216">
        <v>116.3</v>
      </c>
      <c r="N216">
        <v>158.80000000000001</v>
      </c>
      <c r="O216">
        <v>135.6</v>
      </c>
      <c r="P216">
        <v>161.69999999999999</v>
      </c>
      <c r="Q216">
        <v>157</v>
      </c>
      <c r="R216" s="12">
        <f t="shared" si="16"/>
        <v>3.0860144451739908E-2</v>
      </c>
      <c r="S216">
        <v>186.7</v>
      </c>
      <c r="T216">
        <v>149.1</v>
      </c>
      <c r="U216">
        <v>136.6</v>
      </c>
      <c r="V216">
        <v>147.19999999999999</v>
      </c>
      <c r="W216">
        <v>154.69999999999999</v>
      </c>
      <c r="X216">
        <v>137.1</v>
      </c>
      <c r="Y216" s="12">
        <f t="shared" si="17"/>
        <v>-5.38302277432713E-2</v>
      </c>
      <c r="Z216">
        <v>140.4</v>
      </c>
      <c r="AA216">
        <v>148.1</v>
      </c>
      <c r="AB216" s="12">
        <f t="shared" si="18"/>
        <v>-6.3843236409608053E-2</v>
      </c>
      <c r="AC216">
        <v>129.30000000000001</v>
      </c>
      <c r="AD216">
        <v>144.5</v>
      </c>
      <c r="AE216">
        <v>152.5</v>
      </c>
      <c r="AF216">
        <v>152.19999999999999</v>
      </c>
      <c r="AG216">
        <v>142</v>
      </c>
      <c r="AH216">
        <v>150.80000000000001</v>
      </c>
      <c r="AI216" t="str">
        <f t="shared" si="19"/>
        <v>Yes</v>
      </c>
    </row>
    <row r="217" spans="1:35" x14ac:dyDescent="0.25">
      <c r="A217" t="s">
        <v>33</v>
      </c>
      <c r="B217">
        <v>2020</v>
      </c>
      <c r="C217">
        <v>7</v>
      </c>
      <c r="D217" s="13">
        <f t="shared" si="15"/>
        <v>44013</v>
      </c>
      <c r="E217">
        <v>149.6</v>
      </c>
      <c r="F217">
        <v>192.7</v>
      </c>
      <c r="G217">
        <v>151.4</v>
      </c>
      <c r="H217">
        <v>153.30000000000001</v>
      </c>
      <c r="I217">
        <v>136.30000000000001</v>
      </c>
      <c r="J217">
        <v>147.19999999999999</v>
      </c>
      <c r="K217">
        <v>156.5</v>
      </c>
      <c r="L217">
        <v>150.9</v>
      </c>
      <c r="M217">
        <v>114.2</v>
      </c>
      <c r="N217">
        <v>159.5</v>
      </c>
      <c r="O217">
        <v>139.4</v>
      </c>
      <c r="P217">
        <v>161.80000000000001</v>
      </c>
      <c r="Q217">
        <v>154</v>
      </c>
      <c r="R217" s="12">
        <f t="shared" si="16"/>
        <v>-1.9108280254777069E-2</v>
      </c>
      <c r="S217">
        <v>183.5</v>
      </c>
      <c r="T217">
        <v>152.5</v>
      </c>
      <c r="U217">
        <v>144.4</v>
      </c>
      <c r="V217">
        <v>151.4</v>
      </c>
      <c r="W217">
        <v>154.69999999999999</v>
      </c>
      <c r="X217">
        <v>141.9</v>
      </c>
      <c r="Y217" s="12">
        <f t="shared" si="17"/>
        <v>3.5010940919037281E-2</v>
      </c>
      <c r="Z217">
        <v>146.4</v>
      </c>
      <c r="AA217">
        <v>154.4</v>
      </c>
      <c r="AB217" s="12">
        <f t="shared" si="18"/>
        <v>4.2538825118163481E-2</v>
      </c>
      <c r="AC217">
        <v>135</v>
      </c>
      <c r="AD217">
        <v>148.30000000000001</v>
      </c>
      <c r="AE217">
        <v>156.4</v>
      </c>
      <c r="AF217">
        <v>151.6</v>
      </c>
      <c r="AG217">
        <v>147</v>
      </c>
      <c r="AH217">
        <v>151.80000000000001</v>
      </c>
      <c r="AI217" t="str">
        <f t="shared" si="19"/>
        <v>No</v>
      </c>
    </row>
    <row r="218" spans="1:35" x14ac:dyDescent="0.25">
      <c r="A218" t="s">
        <v>30</v>
      </c>
      <c r="B218">
        <v>2021</v>
      </c>
      <c r="C218">
        <v>7</v>
      </c>
      <c r="D218" s="13">
        <f t="shared" si="15"/>
        <v>44378</v>
      </c>
      <c r="E218">
        <v>145.1</v>
      </c>
      <c r="F218">
        <v>204.5</v>
      </c>
      <c r="G218">
        <v>180.4</v>
      </c>
      <c r="H218">
        <v>157.1</v>
      </c>
      <c r="I218">
        <v>188.7</v>
      </c>
      <c r="J218">
        <v>157.69999999999999</v>
      </c>
      <c r="K218">
        <v>152.80000000000001</v>
      </c>
      <c r="L218">
        <v>163.6</v>
      </c>
      <c r="M218">
        <v>113.9</v>
      </c>
      <c r="N218">
        <v>169.7</v>
      </c>
      <c r="O218">
        <v>166.2</v>
      </c>
      <c r="P218">
        <v>171</v>
      </c>
      <c r="Q218">
        <v>161.69999999999999</v>
      </c>
      <c r="R218" s="12">
        <f t="shared" si="16"/>
        <v>4.9999999999999926E-2</v>
      </c>
      <c r="S218">
        <v>189.7</v>
      </c>
      <c r="T218">
        <v>166</v>
      </c>
      <c r="U218">
        <v>161.1</v>
      </c>
      <c r="V218">
        <v>165.3</v>
      </c>
      <c r="W218" t="s">
        <v>31</v>
      </c>
      <c r="X218">
        <v>162.5</v>
      </c>
      <c r="Y218" s="12">
        <f t="shared" si="17"/>
        <v>0.14517265680056374</v>
      </c>
      <c r="Z218">
        <v>160.30000000000001</v>
      </c>
      <c r="AA218">
        <v>170.4</v>
      </c>
      <c r="AB218" s="12">
        <f t="shared" si="18"/>
        <v>0.10362694300518134</v>
      </c>
      <c r="AC218">
        <v>157.1</v>
      </c>
      <c r="AD218">
        <v>160.69999999999999</v>
      </c>
      <c r="AE218">
        <v>167.2</v>
      </c>
      <c r="AF218">
        <v>160.4</v>
      </c>
      <c r="AG218">
        <v>162.80000000000001</v>
      </c>
      <c r="AH218">
        <v>163.19999999999999</v>
      </c>
      <c r="AI218" t="str">
        <f t="shared" si="19"/>
        <v>Yes</v>
      </c>
    </row>
    <row r="219" spans="1:35" x14ac:dyDescent="0.25">
      <c r="A219" t="s">
        <v>32</v>
      </c>
      <c r="B219">
        <v>2021</v>
      </c>
      <c r="C219">
        <v>7</v>
      </c>
      <c r="D219" s="13">
        <f t="shared" si="15"/>
        <v>44378</v>
      </c>
      <c r="E219">
        <v>149.1</v>
      </c>
      <c r="F219">
        <v>210.9</v>
      </c>
      <c r="G219">
        <v>185</v>
      </c>
      <c r="H219">
        <v>158.19999999999999</v>
      </c>
      <c r="I219">
        <v>170.6</v>
      </c>
      <c r="J219">
        <v>170.9</v>
      </c>
      <c r="K219">
        <v>186.4</v>
      </c>
      <c r="L219">
        <v>164.7</v>
      </c>
      <c r="M219">
        <v>115.7</v>
      </c>
      <c r="N219">
        <v>165.5</v>
      </c>
      <c r="O219">
        <v>153.4</v>
      </c>
      <c r="P219">
        <v>173.5</v>
      </c>
      <c r="Q219">
        <v>167.9</v>
      </c>
      <c r="R219" s="12">
        <f t="shared" si="16"/>
        <v>3.8342609771181306E-2</v>
      </c>
      <c r="S219">
        <v>195.5</v>
      </c>
      <c r="T219">
        <v>157.9</v>
      </c>
      <c r="U219">
        <v>141.9</v>
      </c>
      <c r="V219">
        <v>155.5</v>
      </c>
      <c r="W219">
        <v>161.5</v>
      </c>
      <c r="X219">
        <v>157.69999999999999</v>
      </c>
      <c r="Y219" s="12">
        <f t="shared" si="17"/>
        <v>-2.9538461538461607E-2</v>
      </c>
      <c r="Z219">
        <v>150.69999999999999</v>
      </c>
      <c r="AA219">
        <v>161.5</v>
      </c>
      <c r="AB219" s="12">
        <f t="shared" si="18"/>
        <v>-5.223004694835684E-2</v>
      </c>
      <c r="AC219">
        <v>149.5</v>
      </c>
      <c r="AD219">
        <v>151.19999999999999</v>
      </c>
      <c r="AE219">
        <v>160.30000000000001</v>
      </c>
      <c r="AF219">
        <v>159.6</v>
      </c>
      <c r="AG219">
        <v>155</v>
      </c>
      <c r="AH219">
        <v>161.80000000000001</v>
      </c>
      <c r="AI219" t="str">
        <f t="shared" si="19"/>
        <v>Yes</v>
      </c>
    </row>
    <row r="220" spans="1:35" x14ac:dyDescent="0.25">
      <c r="A220" t="s">
        <v>33</v>
      </c>
      <c r="B220">
        <v>2021</v>
      </c>
      <c r="C220">
        <v>7</v>
      </c>
      <c r="D220" s="13">
        <f t="shared" si="15"/>
        <v>44378</v>
      </c>
      <c r="E220">
        <v>146.4</v>
      </c>
      <c r="F220">
        <v>206.8</v>
      </c>
      <c r="G220">
        <v>182.2</v>
      </c>
      <c r="H220">
        <v>157.5</v>
      </c>
      <c r="I220">
        <v>182.1</v>
      </c>
      <c r="J220">
        <v>163.9</v>
      </c>
      <c r="K220">
        <v>164.2</v>
      </c>
      <c r="L220">
        <v>164</v>
      </c>
      <c r="M220">
        <v>114.5</v>
      </c>
      <c r="N220">
        <v>168.3</v>
      </c>
      <c r="O220">
        <v>160.9</v>
      </c>
      <c r="P220">
        <v>172.2</v>
      </c>
      <c r="Q220">
        <v>164</v>
      </c>
      <c r="R220" s="12">
        <f t="shared" si="16"/>
        <v>-2.3228111971411589E-2</v>
      </c>
      <c r="S220">
        <v>191.2</v>
      </c>
      <c r="T220">
        <v>162.80000000000001</v>
      </c>
      <c r="U220">
        <v>153.1</v>
      </c>
      <c r="V220">
        <v>161.4</v>
      </c>
      <c r="W220">
        <v>161.5</v>
      </c>
      <c r="X220">
        <v>160.69999999999999</v>
      </c>
      <c r="Y220" s="12">
        <f t="shared" si="17"/>
        <v>1.9023462270133167E-2</v>
      </c>
      <c r="Z220">
        <v>155.80000000000001</v>
      </c>
      <c r="AA220">
        <v>167</v>
      </c>
      <c r="AB220" s="12">
        <f t="shared" si="18"/>
        <v>3.4055727554179564E-2</v>
      </c>
      <c r="AC220">
        <v>153.1</v>
      </c>
      <c r="AD220">
        <v>155.30000000000001</v>
      </c>
      <c r="AE220">
        <v>163.19999999999999</v>
      </c>
      <c r="AF220">
        <v>160.1</v>
      </c>
      <c r="AG220">
        <v>159</v>
      </c>
      <c r="AH220">
        <v>162.5</v>
      </c>
      <c r="AI220" t="str">
        <f t="shared" si="19"/>
        <v>Yes</v>
      </c>
    </row>
    <row r="221" spans="1:35" x14ac:dyDescent="0.25">
      <c r="A221" t="s">
        <v>30</v>
      </c>
      <c r="B221">
        <v>2022</v>
      </c>
      <c r="C221">
        <v>7</v>
      </c>
      <c r="D221" s="13">
        <f t="shared" si="15"/>
        <v>44743</v>
      </c>
      <c r="E221">
        <v>155.19999999999999</v>
      </c>
      <c r="F221">
        <v>210.8</v>
      </c>
      <c r="G221">
        <v>174.3</v>
      </c>
      <c r="H221">
        <v>166.3</v>
      </c>
      <c r="I221">
        <v>202.2</v>
      </c>
      <c r="J221">
        <v>169.6</v>
      </c>
      <c r="K221">
        <v>168.6</v>
      </c>
      <c r="L221">
        <v>164.4</v>
      </c>
      <c r="M221">
        <v>119.2</v>
      </c>
      <c r="N221">
        <v>191.8</v>
      </c>
      <c r="O221">
        <v>174.5</v>
      </c>
      <c r="P221">
        <v>183.1</v>
      </c>
      <c r="Q221">
        <v>172.5</v>
      </c>
      <c r="R221" s="12">
        <f t="shared" si="16"/>
        <v>5.1829268292682924E-2</v>
      </c>
      <c r="S221">
        <v>193.2</v>
      </c>
      <c r="T221">
        <v>182</v>
      </c>
      <c r="U221">
        <v>180.3</v>
      </c>
      <c r="V221">
        <v>181.7</v>
      </c>
      <c r="W221" t="s">
        <v>31</v>
      </c>
      <c r="X221">
        <v>179.6</v>
      </c>
      <c r="Y221" s="12">
        <f t="shared" si="17"/>
        <v>0.11761045426260117</v>
      </c>
      <c r="Z221">
        <v>171.3</v>
      </c>
      <c r="AA221">
        <v>178.8</v>
      </c>
      <c r="AB221" s="12">
        <f t="shared" si="18"/>
        <v>7.0658682634730602E-2</v>
      </c>
      <c r="AC221">
        <v>166.3</v>
      </c>
      <c r="AD221">
        <v>168.6</v>
      </c>
      <c r="AE221">
        <v>174.7</v>
      </c>
      <c r="AF221">
        <v>169.7</v>
      </c>
      <c r="AG221">
        <v>171.8</v>
      </c>
      <c r="AH221">
        <v>174.3</v>
      </c>
      <c r="AI221" t="str">
        <f t="shared" si="19"/>
        <v>Yes</v>
      </c>
    </row>
    <row r="222" spans="1:35" x14ac:dyDescent="0.25">
      <c r="A222" t="s">
        <v>32</v>
      </c>
      <c r="B222">
        <v>2022</v>
      </c>
      <c r="C222">
        <v>7</v>
      </c>
      <c r="D222" s="13">
        <f t="shared" si="15"/>
        <v>44743</v>
      </c>
      <c r="E222">
        <v>159.30000000000001</v>
      </c>
      <c r="F222">
        <v>217.1</v>
      </c>
      <c r="G222">
        <v>176.6</v>
      </c>
      <c r="H222">
        <v>167.1</v>
      </c>
      <c r="I222">
        <v>184.8</v>
      </c>
      <c r="J222">
        <v>179.5</v>
      </c>
      <c r="K222">
        <v>208.5</v>
      </c>
      <c r="L222">
        <v>164</v>
      </c>
      <c r="M222">
        <v>121.5</v>
      </c>
      <c r="N222">
        <v>186.3</v>
      </c>
      <c r="O222">
        <v>159.80000000000001</v>
      </c>
      <c r="P222">
        <v>187.7</v>
      </c>
      <c r="Q222">
        <v>179.4</v>
      </c>
      <c r="R222" s="12">
        <f t="shared" si="16"/>
        <v>4.0000000000000036E-2</v>
      </c>
      <c r="S222">
        <v>198.6</v>
      </c>
      <c r="T222">
        <v>172.7</v>
      </c>
      <c r="U222">
        <v>158.69999999999999</v>
      </c>
      <c r="V222">
        <v>170.6</v>
      </c>
      <c r="W222">
        <v>167.8</v>
      </c>
      <c r="X222">
        <v>179.5</v>
      </c>
      <c r="Y222" s="12">
        <f t="shared" si="17"/>
        <v>-5.5679287305119326E-4</v>
      </c>
      <c r="Z222">
        <v>163.1</v>
      </c>
      <c r="AA222">
        <v>171.7</v>
      </c>
      <c r="AB222" s="12">
        <f t="shared" si="18"/>
        <v>-3.9709172259507958E-2</v>
      </c>
      <c r="AC222">
        <v>157.4</v>
      </c>
      <c r="AD222">
        <v>164.6</v>
      </c>
      <c r="AE222">
        <v>169.1</v>
      </c>
      <c r="AF222">
        <v>169.8</v>
      </c>
      <c r="AG222">
        <v>164.7</v>
      </c>
      <c r="AH222">
        <v>172.3</v>
      </c>
      <c r="AI222" t="str">
        <f t="shared" si="19"/>
        <v>Yes</v>
      </c>
    </row>
    <row r="223" spans="1:35" x14ac:dyDescent="0.25">
      <c r="A223" t="s">
        <v>33</v>
      </c>
      <c r="B223">
        <v>2022</v>
      </c>
      <c r="C223">
        <v>7</v>
      </c>
      <c r="D223" s="13">
        <f t="shared" si="15"/>
        <v>44743</v>
      </c>
      <c r="E223">
        <v>156.5</v>
      </c>
      <c r="F223">
        <v>213</v>
      </c>
      <c r="G223">
        <v>175.2</v>
      </c>
      <c r="H223">
        <v>166.6</v>
      </c>
      <c r="I223">
        <v>195.8</v>
      </c>
      <c r="J223">
        <v>174.2</v>
      </c>
      <c r="K223">
        <v>182.1</v>
      </c>
      <c r="L223">
        <v>164.3</v>
      </c>
      <c r="M223">
        <v>120</v>
      </c>
      <c r="N223">
        <v>190</v>
      </c>
      <c r="O223">
        <v>168.4</v>
      </c>
      <c r="P223">
        <v>185.2</v>
      </c>
      <c r="Q223">
        <v>175</v>
      </c>
      <c r="R223" s="12">
        <f t="shared" si="16"/>
        <v>-2.4526198439241947E-2</v>
      </c>
      <c r="S223">
        <v>194.6</v>
      </c>
      <c r="T223">
        <v>178.3</v>
      </c>
      <c r="U223">
        <v>171.3</v>
      </c>
      <c r="V223">
        <v>177.3</v>
      </c>
      <c r="W223">
        <v>167.8</v>
      </c>
      <c r="X223">
        <v>179.6</v>
      </c>
      <c r="Y223" s="12">
        <f t="shared" si="17"/>
        <v>5.5710306406682073E-4</v>
      </c>
      <c r="Z223">
        <v>167.4</v>
      </c>
      <c r="AA223">
        <v>176.1</v>
      </c>
      <c r="AB223" s="12">
        <f t="shared" si="18"/>
        <v>2.5626092020966839E-2</v>
      </c>
      <c r="AC223">
        <v>161.6</v>
      </c>
      <c r="AD223">
        <v>166.3</v>
      </c>
      <c r="AE223">
        <v>171.4</v>
      </c>
      <c r="AF223">
        <v>169.7</v>
      </c>
      <c r="AG223">
        <v>168.4</v>
      </c>
      <c r="AH223">
        <v>173.4</v>
      </c>
      <c r="AI223" t="str">
        <f t="shared" si="19"/>
        <v>Yes</v>
      </c>
    </row>
    <row r="224" spans="1:35" x14ac:dyDescent="0.25">
      <c r="A224" t="s">
        <v>30</v>
      </c>
      <c r="B224">
        <v>2013</v>
      </c>
      <c r="C224">
        <v>8</v>
      </c>
      <c r="D224" s="13">
        <f t="shared" si="15"/>
        <v>41487</v>
      </c>
      <c r="E224">
        <v>114.3</v>
      </c>
      <c r="F224">
        <v>115.4</v>
      </c>
      <c r="G224">
        <v>111.1</v>
      </c>
      <c r="H224">
        <v>110</v>
      </c>
      <c r="I224">
        <v>106.4</v>
      </c>
      <c r="J224">
        <v>110.8</v>
      </c>
      <c r="K224">
        <v>138.9</v>
      </c>
      <c r="L224">
        <v>107.4</v>
      </c>
      <c r="M224">
        <v>104.1</v>
      </c>
      <c r="N224">
        <v>106.9</v>
      </c>
      <c r="O224">
        <v>109.7</v>
      </c>
      <c r="P224">
        <v>112.6</v>
      </c>
      <c r="Q224">
        <v>114.9</v>
      </c>
      <c r="R224" s="12">
        <f t="shared" si="16"/>
        <v>-0.34342857142857142</v>
      </c>
      <c r="S224">
        <v>110.7</v>
      </c>
      <c r="T224">
        <v>111.3</v>
      </c>
      <c r="U224">
        <v>110.2</v>
      </c>
      <c r="V224">
        <v>111.1</v>
      </c>
      <c r="W224" t="s">
        <v>31</v>
      </c>
      <c r="X224">
        <v>109.9</v>
      </c>
      <c r="Y224" s="12">
        <f t="shared" si="17"/>
        <v>-0.38808463251670372</v>
      </c>
      <c r="Z224">
        <v>108.7</v>
      </c>
      <c r="AA224">
        <v>107.5</v>
      </c>
      <c r="AB224" s="12">
        <f t="shared" si="18"/>
        <v>-0.38955139125496874</v>
      </c>
      <c r="AC224">
        <v>107.8</v>
      </c>
      <c r="AD224">
        <v>106.8</v>
      </c>
      <c r="AE224">
        <v>108.7</v>
      </c>
      <c r="AF224">
        <v>105</v>
      </c>
      <c r="AG224">
        <v>107.5</v>
      </c>
      <c r="AH224">
        <v>112.1</v>
      </c>
      <c r="AI224" t="str">
        <f t="shared" si="19"/>
        <v>No</v>
      </c>
    </row>
    <row r="225" spans="1:35" x14ac:dyDescent="0.25">
      <c r="A225" t="s">
        <v>32</v>
      </c>
      <c r="B225">
        <v>2013</v>
      </c>
      <c r="C225">
        <v>8</v>
      </c>
      <c r="D225" s="13">
        <f t="shared" si="15"/>
        <v>41487</v>
      </c>
      <c r="E225">
        <v>118.3</v>
      </c>
      <c r="F225">
        <v>120.4</v>
      </c>
      <c r="G225">
        <v>112.7</v>
      </c>
      <c r="H225">
        <v>108.9</v>
      </c>
      <c r="I225">
        <v>101.1</v>
      </c>
      <c r="J225">
        <v>108.7</v>
      </c>
      <c r="K225">
        <v>177</v>
      </c>
      <c r="L225">
        <v>104.7</v>
      </c>
      <c r="M225">
        <v>101</v>
      </c>
      <c r="N225">
        <v>108.5</v>
      </c>
      <c r="O225">
        <v>110.9</v>
      </c>
      <c r="P225">
        <v>114.3</v>
      </c>
      <c r="Q225">
        <v>119.6</v>
      </c>
      <c r="R225" s="12">
        <f t="shared" si="16"/>
        <v>4.0905134899912869E-2</v>
      </c>
      <c r="S225">
        <v>112.4</v>
      </c>
      <c r="T225">
        <v>110.6</v>
      </c>
      <c r="U225">
        <v>108.3</v>
      </c>
      <c r="V225">
        <v>110.2</v>
      </c>
      <c r="W225">
        <v>108.9</v>
      </c>
      <c r="X225">
        <v>109.3</v>
      </c>
      <c r="Y225" s="12">
        <f t="shared" si="17"/>
        <v>-5.4595086442220976E-3</v>
      </c>
      <c r="Z225">
        <v>108.7</v>
      </c>
      <c r="AA225">
        <v>107.6</v>
      </c>
      <c r="AB225" s="12">
        <f t="shared" si="18"/>
        <v>9.3023255813948203E-4</v>
      </c>
      <c r="AC225">
        <v>108.1</v>
      </c>
      <c r="AD225">
        <v>106.5</v>
      </c>
      <c r="AE225">
        <v>110.8</v>
      </c>
      <c r="AF225">
        <v>106</v>
      </c>
      <c r="AG225">
        <v>108.3</v>
      </c>
      <c r="AH225">
        <v>112.7</v>
      </c>
      <c r="AI225" t="str">
        <f t="shared" si="19"/>
        <v>No</v>
      </c>
    </row>
    <row r="226" spans="1:35" x14ac:dyDescent="0.25">
      <c r="A226" t="s">
        <v>33</v>
      </c>
      <c r="B226">
        <v>2013</v>
      </c>
      <c r="C226">
        <v>8</v>
      </c>
      <c r="D226" s="13">
        <f t="shared" si="15"/>
        <v>41487</v>
      </c>
      <c r="E226">
        <v>115.6</v>
      </c>
      <c r="F226">
        <v>117.2</v>
      </c>
      <c r="G226">
        <v>111.7</v>
      </c>
      <c r="H226">
        <v>109.6</v>
      </c>
      <c r="I226">
        <v>104.5</v>
      </c>
      <c r="J226">
        <v>109.8</v>
      </c>
      <c r="K226">
        <v>151.80000000000001</v>
      </c>
      <c r="L226">
        <v>106.5</v>
      </c>
      <c r="M226">
        <v>103.1</v>
      </c>
      <c r="N226">
        <v>107.4</v>
      </c>
      <c r="O226">
        <v>110.2</v>
      </c>
      <c r="P226">
        <v>113.4</v>
      </c>
      <c r="Q226">
        <v>116.6</v>
      </c>
      <c r="R226" s="12">
        <f t="shared" si="16"/>
        <v>-2.508361204013378E-2</v>
      </c>
      <c r="S226">
        <v>111.2</v>
      </c>
      <c r="T226">
        <v>111</v>
      </c>
      <c r="U226">
        <v>109.4</v>
      </c>
      <c r="V226">
        <v>110.7</v>
      </c>
      <c r="W226">
        <v>108.9</v>
      </c>
      <c r="X226">
        <v>109.7</v>
      </c>
      <c r="Y226" s="12">
        <f t="shared" si="17"/>
        <v>3.6596523330284145E-3</v>
      </c>
      <c r="Z226">
        <v>108.7</v>
      </c>
      <c r="AA226">
        <v>107.5</v>
      </c>
      <c r="AB226" s="12">
        <f t="shared" si="18"/>
        <v>-9.2936802973972422E-4</v>
      </c>
      <c r="AC226">
        <v>108</v>
      </c>
      <c r="AD226">
        <v>106.6</v>
      </c>
      <c r="AE226">
        <v>109.9</v>
      </c>
      <c r="AF226">
        <v>105.4</v>
      </c>
      <c r="AG226">
        <v>107.9</v>
      </c>
      <c r="AH226">
        <v>112.4</v>
      </c>
      <c r="AI226" t="str">
        <f t="shared" si="19"/>
        <v>No</v>
      </c>
    </row>
    <row r="227" spans="1:35" x14ac:dyDescent="0.25">
      <c r="A227" t="s">
        <v>30</v>
      </c>
      <c r="B227">
        <v>2014</v>
      </c>
      <c r="C227">
        <v>8</v>
      </c>
      <c r="D227" s="13">
        <f t="shared" si="15"/>
        <v>41852</v>
      </c>
      <c r="E227">
        <v>121.8</v>
      </c>
      <c r="F227">
        <v>122.8</v>
      </c>
      <c r="G227">
        <v>117.8</v>
      </c>
      <c r="H227">
        <v>121.9</v>
      </c>
      <c r="I227">
        <v>110.6</v>
      </c>
      <c r="J227">
        <v>129.69999999999999</v>
      </c>
      <c r="K227">
        <v>161.1</v>
      </c>
      <c r="L227">
        <v>114.1</v>
      </c>
      <c r="M227">
        <v>105.1</v>
      </c>
      <c r="N227">
        <v>114.6</v>
      </c>
      <c r="O227">
        <v>115.8</v>
      </c>
      <c r="P227">
        <v>121.7</v>
      </c>
      <c r="Q227">
        <v>125.3</v>
      </c>
      <c r="R227" s="12">
        <f t="shared" si="16"/>
        <v>7.461406518010294E-2</v>
      </c>
      <c r="S227">
        <v>118.8</v>
      </c>
      <c r="T227">
        <v>120.9</v>
      </c>
      <c r="U227">
        <v>118.8</v>
      </c>
      <c r="V227">
        <v>120.7</v>
      </c>
      <c r="W227" t="s">
        <v>31</v>
      </c>
      <c r="X227">
        <v>115.4</v>
      </c>
      <c r="Y227" s="12">
        <f t="shared" si="17"/>
        <v>5.1959890610756634E-2</v>
      </c>
      <c r="Z227">
        <v>115.9</v>
      </c>
      <c r="AA227">
        <v>114</v>
      </c>
      <c r="AB227" s="12">
        <f t="shared" si="18"/>
        <v>6.0465116279069767E-2</v>
      </c>
      <c r="AC227">
        <v>113.2</v>
      </c>
      <c r="AD227">
        <v>112.2</v>
      </c>
      <c r="AE227">
        <v>116.2</v>
      </c>
      <c r="AF227">
        <v>109.4</v>
      </c>
      <c r="AG227">
        <v>113.5</v>
      </c>
      <c r="AH227">
        <v>120.7</v>
      </c>
      <c r="AI227" t="str">
        <f t="shared" si="19"/>
        <v>No</v>
      </c>
    </row>
    <row r="228" spans="1:35" x14ac:dyDescent="0.25">
      <c r="A228" t="s">
        <v>32</v>
      </c>
      <c r="B228">
        <v>2014</v>
      </c>
      <c r="C228">
        <v>8</v>
      </c>
      <c r="D228" s="13">
        <f t="shared" si="15"/>
        <v>41852</v>
      </c>
      <c r="E228">
        <v>124.8</v>
      </c>
      <c r="F228">
        <v>127.3</v>
      </c>
      <c r="G228">
        <v>116.5</v>
      </c>
      <c r="H228">
        <v>122.2</v>
      </c>
      <c r="I228">
        <v>103.6</v>
      </c>
      <c r="J228">
        <v>132.69999999999999</v>
      </c>
      <c r="K228">
        <v>181.9</v>
      </c>
      <c r="L228">
        <v>115.2</v>
      </c>
      <c r="M228">
        <v>102.7</v>
      </c>
      <c r="N228">
        <v>122.1</v>
      </c>
      <c r="O228">
        <v>114.4</v>
      </c>
      <c r="P228">
        <v>124.7</v>
      </c>
      <c r="Q228">
        <v>128.9</v>
      </c>
      <c r="R228" s="12">
        <f t="shared" si="16"/>
        <v>2.8731045490822095E-2</v>
      </c>
      <c r="S228">
        <v>123</v>
      </c>
      <c r="T228">
        <v>118.6</v>
      </c>
      <c r="U228">
        <v>114.1</v>
      </c>
      <c r="V228">
        <v>117.9</v>
      </c>
      <c r="W228">
        <v>115.5</v>
      </c>
      <c r="X228">
        <v>111.8</v>
      </c>
      <c r="Y228" s="12">
        <f t="shared" si="17"/>
        <v>-3.1195840554592794E-2</v>
      </c>
      <c r="Z228">
        <v>115.3</v>
      </c>
      <c r="AA228">
        <v>112.2</v>
      </c>
      <c r="AB228" s="12">
        <f t="shared" si="18"/>
        <v>-1.5789473684210503E-2</v>
      </c>
      <c r="AC228">
        <v>112.5</v>
      </c>
      <c r="AD228">
        <v>112.9</v>
      </c>
      <c r="AE228">
        <v>119.2</v>
      </c>
      <c r="AF228">
        <v>110.5</v>
      </c>
      <c r="AG228">
        <v>113.9</v>
      </c>
      <c r="AH228">
        <v>119.9</v>
      </c>
      <c r="AI228" t="str">
        <f t="shared" si="19"/>
        <v>No</v>
      </c>
    </row>
    <row r="229" spans="1:35" x14ac:dyDescent="0.25">
      <c r="A229" t="s">
        <v>33</v>
      </c>
      <c r="B229">
        <v>2014</v>
      </c>
      <c r="C229">
        <v>8</v>
      </c>
      <c r="D229" s="13">
        <f t="shared" si="15"/>
        <v>41852</v>
      </c>
      <c r="E229">
        <v>122.7</v>
      </c>
      <c r="F229">
        <v>124.4</v>
      </c>
      <c r="G229">
        <v>117.3</v>
      </c>
      <c r="H229">
        <v>122</v>
      </c>
      <c r="I229">
        <v>108</v>
      </c>
      <c r="J229">
        <v>131.1</v>
      </c>
      <c r="K229">
        <v>168.2</v>
      </c>
      <c r="L229">
        <v>114.5</v>
      </c>
      <c r="M229">
        <v>104.3</v>
      </c>
      <c r="N229">
        <v>117.1</v>
      </c>
      <c r="O229">
        <v>115.2</v>
      </c>
      <c r="P229">
        <v>123.1</v>
      </c>
      <c r="Q229">
        <v>126.6</v>
      </c>
      <c r="R229" s="12">
        <f t="shared" si="16"/>
        <v>-1.7843289371605984E-2</v>
      </c>
      <c r="S229">
        <v>119.9</v>
      </c>
      <c r="T229">
        <v>120</v>
      </c>
      <c r="U229">
        <v>116.8</v>
      </c>
      <c r="V229">
        <v>119.6</v>
      </c>
      <c r="W229">
        <v>115.5</v>
      </c>
      <c r="X229">
        <v>114</v>
      </c>
      <c r="Y229" s="12">
        <f t="shared" si="17"/>
        <v>1.9677996422182494E-2</v>
      </c>
      <c r="Z229">
        <v>115.6</v>
      </c>
      <c r="AA229">
        <v>113.3</v>
      </c>
      <c r="AB229" s="12">
        <f t="shared" si="18"/>
        <v>9.8039215686274005E-3</v>
      </c>
      <c r="AC229">
        <v>112.8</v>
      </c>
      <c r="AD229">
        <v>112.6</v>
      </c>
      <c r="AE229">
        <v>118</v>
      </c>
      <c r="AF229">
        <v>109.9</v>
      </c>
      <c r="AG229">
        <v>113.7</v>
      </c>
      <c r="AH229">
        <v>120.3</v>
      </c>
      <c r="AI229" t="str">
        <f t="shared" si="19"/>
        <v>No</v>
      </c>
    </row>
    <row r="230" spans="1:35" x14ac:dyDescent="0.25">
      <c r="A230" t="s">
        <v>30</v>
      </c>
      <c r="B230">
        <v>2015</v>
      </c>
      <c r="C230">
        <v>8</v>
      </c>
      <c r="D230" s="13">
        <f t="shared" si="15"/>
        <v>42217</v>
      </c>
      <c r="E230">
        <v>124.7</v>
      </c>
      <c r="F230">
        <v>131.30000000000001</v>
      </c>
      <c r="G230">
        <v>121.3</v>
      </c>
      <c r="H230">
        <v>128.80000000000001</v>
      </c>
      <c r="I230">
        <v>114</v>
      </c>
      <c r="J230">
        <v>134.19999999999999</v>
      </c>
      <c r="K230">
        <v>153.6</v>
      </c>
      <c r="L230">
        <v>137.9</v>
      </c>
      <c r="M230">
        <v>93.1</v>
      </c>
      <c r="N230">
        <v>123.9</v>
      </c>
      <c r="O230">
        <v>121.5</v>
      </c>
      <c r="P230">
        <v>132.5</v>
      </c>
      <c r="Q230">
        <v>129.80000000000001</v>
      </c>
      <c r="R230" s="12">
        <f t="shared" si="16"/>
        <v>2.5276461295418776E-2</v>
      </c>
      <c r="S230">
        <v>130.1</v>
      </c>
      <c r="T230">
        <v>129.5</v>
      </c>
      <c r="U230">
        <v>126.3</v>
      </c>
      <c r="V230">
        <v>129</v>
      </c>
      <c r="W230" t="s">
        <v>31</v>
      </c>
      <c r="X230">
        <v>123.8</v>
      </c>
      <c r="Y230" s="12">
        <f t="shared" si="17"/>
        <v>8.596491228070173E-2</v>
      </c>
      <c r="Z230">
        <v>123.7</v>
      </c>
      <c r="AA230">
        <v>121.1</v>
      </c>
      <c r="AB230" s="12">
        <f t="shared" si="18"/>
        <v>6.8843777581641633E-2</v>
      </c>
      <c r="AC230">
        <v>113.6</v>
      </c>
      <c r="AD230">
        <v>118.5</v>
      </c>
      <c r="AE230">
        <v>123.6</v>
      </c>
      <c r="AF230">
        <v>112.5</v>
      </c>
      <c r="AG230">
        <v>118.2</v>
      </c>
      <c r="AH230">
        <v>126.1</v>
      </c>
      <c r="AI230" t="str">
        <f t="shared" si="19"/>
        <v>No</v>
      </c>
    </row>
    <row r="231" spans="1:35" x14ac:dyDescent="0.25">
      <c r="A231" t="s">
        <v>32</v>
      </c>
      <c r="B231">
        <v>2015</v>
      </c>
      <c r="C231">
        <v>8</v>
      </c>
      <c r="D231" s="13">
        <f t="shared" si="15"/>
        <v>42217</v>
      </c>
      <c r="E231">
        <v>123.1</v>
      </c>
      <c r="F231">
        <v>131.69999999999999</v>
      </c>
      <c r="G231">
        <v>118.1</v>
      </c>
      <c r="H231">
        <v>128</v>
      </c>
      <c r="I231">
        <v>106.8</v>
      </c>
      <c r="J231">
        <v>130.1</v>
      </c>
      <c r="K231">
        <v>165.5</v>
      </c>
      <c r="L231">
        <v>156</v>
      </c>
      <c r="M231">
        <v>85.3</v>
      </c>
      <c r="N231">
        <v>132.69999999999999</v>
      </c>
      <c r="O231">
        <v>118.8</v>
      </c>
      <c r="P231">
        <v>131.69999999999999</v>
      </c>
      <c r="Q231">
        <v>131.1</v>
      </c>
      <c r="R231" s="12">
        <f t="shared" si="16"/>
        <v>1.0015408320492934E-2</v>
      </c>
      <c r="S231">
        <v>134.19999999999999</v>
      </c>
      <c r="T231">
        <v>123.7</v>
      </c>
      <c r="U231">
        <v>118.2</v>
      </c>
      <c r="V231">
        <v>122.9</v>
      </c>
      <c r="W231">
        <v>120.9</v>
      </c>
      <c r="X231">
        <v>115.3</v>
      </c>
      <c r="Y231" s="12">
        <f t="shared" si="17"/>
        <v>-6.8659127625201946E-2</v>
      </c>
      <c r="Z231">
        <v>120</v>
      </c>
      <c r="AA231">
        <v>116.6</v>
      </c>
      <c r="AB231" s="12">
        <f t="shared" si="18"/>
        <v>-3.7159372419488031E-2</v>
      </c>
      <c r="AC231">
        <v>109.9</v>
      </c>
      <c r="AD231">
        <v>117.2</v>
      </c>
      <c r="AE231">
        <v>126.2</v>
      </c>
      <c r="AF231">
        <v>112</v>
      </c>
      <c r="AG231">
        <v>116.2</v>
      </c>
      <c r="AH231">
        <v>123.2</v>
      </c>
      <c r="AI231" t="str">
        <f t="shared" si="19"/>
        <v>No</v>
      </c>
    </row>
    <row r="232" spans="1:35" x14ac:dyDescent="0.25">
      <c r="A232" t="s">
        <v>33</v>
      </c>
      <c r="B232">
        <v>2015</v>
      </c>
      <c r="C232">
        <v>8</v>
      </c>
      <c r="D232" s="13">
        <f t="shared" si="15"/>
        <v>42217</v>
      </c>
      <c r="E232">
        <v>124.2</v>
      </c>
      <c r="F232">
        <v>131.4</v>
      </c>
      <c r="G232">
        <v>120.1</v>
      </c>
      <c r="H232">
        <v>128.5</v>
      </c>
      <c r="I232">
        <v>111.4</v>
      </c>
      <c r="J232">
        <v>132.30000000000001</v>
      </c>
      <c r="K232">
        <v>157.6</v>
      </c>
      <c r="L232">
        <v>144</v>
      </c>
      <c r="M232">
        <v>90.5</v>
      </c>
      <c r="N232">
        <v>126.8</v>
      </c>
      <c r="O232">
        <v>120.4</v>
      </c>
      <c r="P232">
        <v>132.1</v>
      </c>
      <c r="Q232">
        <v>130.30000000000001</v>
      </c>
      <c r="R232" s="12">
        <f t="shared" si="16"/>
        <v>-6.1022120518686726E-3</v>
      </c>
      <c r="S232">
        <v>131.19999999999999</v>
      </c>
      <c r="T232">
        <v>127.2</v>
      </c>
      <c r="U232">
        <v>122.9</v>
      </c>
      <c r="V232">
        <v>126.6</v>
      </c>
      <c r="W232">
        <v>120.9</v>
      </c>
      <c r="X232">
        <v>120.6</v>
      </c>
      <c r="Y232" s="12">
        <f t="shared" si="17"/>
        <v>4.596704249783172E-2</v>
      </c>
      <c r="Z232">
        <v>122</v>
      </c>
      <c r="AA232">
        <v>119.4</v>
      </c>
      <c r="AB232" s="12">
        <f t="shared" si="18"/>
        <v>2.4013722126929773E-2</v>
      </c>
      <c r="AC232">
        <v>111.7</v>
      </c>
      <c r="AD232">
        <v>117.8</v>
      </c>
      <c r="AE232">
        <v>125.1</v>
      </c>
      <c r="AF232">
        <v>112.3</v>
      </c>
      <c r="AG232">
        <v>117.2</v>
      </c>
      <c r="AH232">
        <v>124.8</v>
      </c>
      <c r="AI232" t="str">
        <f t="shared" si="19"/>
        <v>No</v>
      </c>
    </row>
    <row r="233" spans="1:35" x14ac:dyDescent="0.25">
      <c r="A233" t="s">
        <v>30</v>
      </c>
      <c r="B233">
        <v>2016</v>
      </c>
      <c r="C233">
        <v>8</v>
      </c>
      <c r="D233" s="13">
        <f t="shared" si="15"/>
        <v>42583</v>
      </c>
      <c r="E233">
        <v>130.1</v>
      </c>
      <c r="F233">
        <v>138.80000000000001</v>
      </c>
      <c r="G233">
        <v>130.30000000000001</v>
      </c>
      <c r="H233">
        <v>135.30000000000001</v>
      </c>
      <c r="I233">
        <v>119.9</v>
      </c>
      <c r="J233">
        <v>140.19999999999999</v>
      </c>
      <c r="K233">
        <v>156.9</v>
      </c>
      <c r="L233">
        <v>172.2</v>
      </c>
      <c r="M233">
        <v>112.1</v>
      </c>
      <c r="N233">
        <v>134.9</v>
      </c>
      <c r="O233">
        <v>128.1</v>
      </c>
      <c r="P233">
        <v>140.69999999999999</v>
      </c>
      <c r="Q233">
        <v>138</v>
      </c>
      <c r="R233" s="12">
        <f t="shared" si="16"/>
        <v>5.9094397544128839E-2</v>
      </c>
      <c r="S233">
        <v>138.9</v>
      </c>
      <c r="T233">
        <v>137.80000000000001</v>
      </c>
      <c r="U233">
        <v>133</v>
      </c>
      <c r="V233">
        <v>137.1</v>
      </c>
      <c r="W233" t="s">
        <v>31</v>
      </c>
      <c r="X233">
        <v>129.1</v>
      </c>
      <c r="Y233" s="12">
        <f t="shared" si="17"/>
        <v>7.0480928689883912E-2</v>
      </c>
      <c r="Z233">
        <v>130.6</v>
      </c>
      <c r="AA233">
        <v>127</v>
      </c>
      <c r="AB233" s="12">
        <f t="shared" si="18"/>
        <v>6.3651591289782192E-2</v>
      </c>
      <c r="AC233">
        <v>116</v>
      </c>
      <c r="AD233">
        <v>125.5</v>
      </c>
      <c r="AE233">
        <v>131.9</v>
      </c>
      <c r="AF233">
        <v>122</v>
      </c>
      <c r="AG233">
        <v>124.2</v>
      </c>
      <c r="AH233">
        <v>133.5</v>
      </c>
      <c r="AI233" t="str">
        <f t="shared" si="19"/>
        <v>No</v>
      </c>
    </row>
    <row r="234" spans="1:35" x14ac:dyDescent="0.25">
      <c r="A234" t="s">
        <v>32</v>
      </c>
      <c r="B234">
        <v>2016</v>
      </c>
      <c r="C234">
        <v>8</v>
      </c>
      <c r="D234" s="13">
        <f t="shared" si="15"/>
        <v>42583</v>
      </c>
      <c r="E234">
        <v>127.6</v>
      </c>
      <c r="F234">
        <v>140.30000000000001</v>
      </c>
      <c r="G234">
        <v>133.69999999999999</v>
      </c>
      <c r="H234">
        <v>132.19999999999999</v>
      </c>
      <c r="I234">
        <v>111.8</v>
      </c>
      <c r="J234">
        <v>135.80000000000001</v>
      </c>
      <c r="K234">
        <v>163.5</v>
      </c>
      <c r="L234">
        <v>182.3</v>
      </c>
      <c r="M234">
        <v>114.6</v>
      </c>
      <c r="N234">
        <v>144.6</v>
      </c>
      <c r="O234">
        <v>121.9</v>
      </c>
      <c r="P234">
        <v>138.1</v>
      </c>
      <c r="Q234">
        <v>137.6</v>
      </c>
      <c r="R234" s="12">
        <f t="shared" si="16"/>
        <v>-2.8985507246377224E-3</v>
      </c>
      <c r="S234">
        <v>143.6</v>
      </c>
      <c r="T234">
        <v>128.30000000000001</v>
      </c>
      <c r="U234">
        <v>121.4</v>
      </c>
      <c r="V234">
        <v>127.3</v>
      </c>
      <c r="W234">
        <v>127.3</v>
      </c>
      <c r="X234">
        <v>114.7</v>
      </c>
      <c r="Y234" s="12">
        <f t="shared" si="17"/>
        <v>-0.11154144074360954</v>
      </c>
      <c r="Z234">
        <v>123.9</v>
      </c>
      <c r="AA234">
        <v>121.2</v>
      </c>
      <c r="AB234" s="12">
        <f t="shared" si="18"/>
        <v>-4.5669291338582656E-2</v>
      </c>
      <c r="AC234">
        <v>110.4</v>
      </c>
      <c r="AD234">
        <v>120.6</v>
      </c>
      <c r="AE234">
        <v>131.5</v>
      </c>
      <c r="AF234">
        <v>120.9</v>
      </c>
      <c r="AG234">
        <v>119.9</v>
      </c>
      <c r="AH234">
        <v>128.4</v>
      </c>
      <c r="AI234" t="str">
        <f t="shared" si="19"/>
        <v>No</v>
      </c>
    </row>
    <row r="235" spans="1:35" x14ac:dyDescent="0.25">
      <c r="A235" t="s">
        <v>33</v>
      </c>
      <c r="B235">
        <v>2016</v>
      </c>
      <c r="C235">
        <v>8</v>
      </c>
      <c r="D235" s="13">
        <f t="shared" si="15"/>
        <v>42583</v>
      </c>
      <c r="E235">
        <v>129.30000000000001</v>
      </c>
      <c r="F235">
        <v>139.30000000000001</v>
      </c>
      <c r="G235">
        <v>131.6</v>
      </c>
      <c r="H235">
        <v>134.1</v>
      </c>
      <c r="I235">
        <v>116.9</v>
      </c>
      <c r="J235">
        <v>138.1</v>
      </c>
      <c r="K235">
        <v>159.1</v>
      </c>
      <c r="L235">
        <v>175.6</v>
      </c>
      <c r="M235">
        <v>112.9</v>
      </c>
      <c r="N235">
        <v>138.1</v>
      </c>
      <c r="O235">
        <v>125.5</v>
      </c>
      <c r="P235">
        <v>139.5</v>
      </c>
      <c r="Q235">
        <v>137.9</v>
      </c>
      <c r="R235" s="12">
        <f t="shared" si="16"/>
        <v>2.1802325581396177E-3</v>
      </c>
      <c r="S235">
        <v>140.19999999999999</v>
      </c>
      <c r="T235">
        <v>134.1</v>
      </c>
      <c r="U235">
        <v>128.19999999999999</v>
      </c>
      <c r="V235">
        <v>133.19999999999999</v>
      </c>
      <c r="W235">
        <v>127.3</v>
      </c>
      <c r="X235">
        <v>123.6</v>
      </c>
      <c r="Y235" s="12">
        <f t="shared" si="17"/>
        <v>7.7593722755013E-2</v>
      </c>
      <c r="Z235">
        <v>127.4</v>
      </c>
      <c r="AA235">
        <v>124.8</v>
      </c>
      <c r="AB235" s="12">
        <f t="shared" si="18"/>
        <v>2.9702970297029656E-2</v>
      </c>
      <c r="AC235">
        <v>113.1</v>
      </c>
      <c r="AD235">
        <v>122.7</v>
      </c>
      <c r="AE235">
        <v>131.69999999999999</v>
      </c>
      <c r="AF235">
        <v>121.5</v>
      </c>
      <c r="AG235">
        <v>122.1</v>
      </c>
      <c r="AH235">
        <v>131.1</v>
      </c>
      <c r="AI235" t="str">
        <f t="shared" si="19"/>
        <v>No</v>
      </c>
    </row>
    <row r="236" spans="1:35" x14ac:dyDescent="0.25">
      <c r="A236" t="s">
        <v>30</v>
      </c>
      <c r="B236">
        <v>2017</v>
      </c>
      <c r="C236">
        <v>8</v>
      </c>
      <c r="D236" s="13">
        <f t="shared" si="15"/>
        <v>42948</v>
      </c>
      <c r="E236">
        <v>134.80000000000001</v>
      </c>
      <c r="F236">
        <v>143.1</v>
      </c>
      <c r="G236">
        <v>130</v>
      </c>
      <c r="H236">
        <v>139.4</v>
      </c>
      <c r="I236">
        <v>120.5</v>
      </c>
      <c r="J236">
        <v>148</v>
      </c>
      <c r="K236">
        <v>162.9</v>
      </c>
      <c r="L236">
        <v>137.4</v>
      </c>
      <c r="M236">
        <v>120.8</v>
      </c>
      <c r="N236">
        <v>134.69999999999999</v>
      </c>
      <c r="O236">
        <v>131.6</v>
      </c>
      <c r="P236">
        <v>148.69999999999999</v>
      </c>
      <c r="Q236">
        <v>140.6</v>
      </c>
      <c r="R236" s="12">
        <f t="shared" si="16"/>
        <v>1.9579405366207312E-2</v>
      </c>
      <c r="S236">
        <v>149</v>
      </c>
      <c r="T236">
        <v>145.30000000000001</v>
      </c>
      <c r="U236">
        <v>139.19999999999999</v>
      </c>
      <c r="V236">
        <v>144.5</v>
      </c>
      <c r="W236" t="s">
        <v>31</v>
      </c>
      <c r="X236">
        <v>136.4</v>
      </c>
      <c r="Y236" s="12">
        <f t="shared" si="17"/>
        <v>0.10355987055016191</v>
      </c>
      <c r="Z236">
        <v>137.30000000000001</v>
      </c>
      <c r="AA236">
        <v>133</v>
      </c>
      <c r="AB236" s="12">
        <f t="shared" si="18"/>
        <v>6.5705128205128235E-2</v>
      </c>
      <c r="AC236">
        <v>120.3</v>
      </c>
      <c r="AD236">
        <v>131.5</v>
      </c>
      <c r="AE236">
        <v>140.19999999999999</v>
      </c>
      <c r="AF236">
        <v>125.4</v>
      </c>
      <c r="AG236">
        <v>129.69999999999999</v>
      </c>
      <c r="AH236">
        <v>137.80000000000001</v>
      </c>
      <c r="AI236" t="str">
        <f t="shared" si="19"/>
        <v>No</v>
      </c>
    </row>
    <row r="237" spans="1:35" x14ac:dyDescent="0.25">
      <c r="A237" t="s">
        <v>32</v>
      </c>
      <c r="B237">
        <v>2017</v>
      </c>
      <c r="C237">
        <v>8</v>
      </c>
      <c r="D237" s="13">
        <f t="shared" si="15"/>
        <v>42948</v>
      </c>
      <c r="E237">
        <v>133.19999999999999</v>
      </c>
      <c r="F237">
        <v>143.9</v>
      </c>
      <c r="G237">
        <v>128.30000000000001</v>
      </c>
      <c r="H237">
        <v>138.30000000000001</v>
      </c>
      <c r="I237">
        <v>114.1</v>
      </c>
      <c r="J237">
        <v>142.69999999999999</v>
      </c>
      <c r="K237">
        <v>179.8</v>
      </c>
      <c r="L237">
        <v>123.5</v>
      </c>
      <c r="M237">
        <v>122.1</v>
      </c>
      <c r="N237">
        <v>137.5</v>
      </c>
      <c r="O237">
        <v>124.6</v>
      </c>
      <c r="P237">
        <v>144.5</v>
      </c>
      <c r="Q237">
        <v>140.5</v>
      </c>
      <c r="R237" s="12">
        <f t="shared" si="16"/>
        <v>-7.1123755334277609E-4</v>
      </c>
      <c r="S237">
        <v>152.1</v>
      </c>
      <c r="T237">
        <v>132.69999999999999</v>
      </c>
      <c r="U237">
        <v>124.3</v>
      </c>
      <c r="V237">
        <v>131.4</v>
      </c>
      <c r="W237">
        <v>134.4</v>
      </c>
      <c r="X237">
        <v>118.9</v>
      </c>
      <c r="Y237" s="12">
        <f t="shared" si="17"/>
        <v>-0.1282991202346041</v>
      </c>
      <c r="Z237">
        <v>127.7</v>
      </c>
      <c r="AA237">
        <v>125.7</v>
      </c>
      <c r="AB237" s="12">
        <f t="shared" si="18"/>
        <v>-5.4887218045112762E-2</v>
      </c>
      <c r="AC237">
        <v>114.6</v>
      </c>
      <c r="AD237">
        <v>124.1</v>
      </c>
      <c r="AE237">
        <v>135.69999999999999</v>
      </c>
      <c r="AF237">
        <v>123.3</v>
      </c>
      <c r="AG237">
        <v>123.8</v>
      </c>
      <c r="AH237">
        <v>132.69999999999999</v>
      </c>
      <c r="AI237" t="str">
        <f t="shared" si="19"/>
        <v>No</v>
      </c>
    </row>
    <row r="238" spans="1:35" x14ac:dyDescent="0.25">
      <c r="A238" t="s">
        <v>33</v>
      </c>
      <c r="B238">
        <v>2017</v>
      </c>
      <c r="C238">
        <v>8</v>
      </c>
      <c r="D238" s="13">
        <f t="shared" si="15"/>
        <v>42948</v>
      </c>
      <c r="E238">
        <v>134.30000000000001</v>
      </c>
      <c r="F238">
        <v>143.4</v>
      </c>
      <c r="G238">
        <v>129.30000000000001</v>
      </c>
      <c r="H238">
        <v>139</v>
      </c>
      <c r="I238">
        <v>118.1</v>
      </c>
      <c r="J238">
        <v>145.5</v>
      </c>
      <c r="K238">
        <v>168.6</v>
      </c>
      <c r="L238">
        <v>132.69999999999999</v>
      </c>
      <c r="M238">
        <v>121.2</v>
      </c>
      <c r="N238">
        <v>135.6</v>
      </c>
      <c r="O238">
        <v>128.69999999999999</v>
      </c>
      <c r="P238">
        <v>146.80000000000001</v>
      </c>
      <c r="Q238">
        <v>140.6</v>
      </c>
      <c r="R238" s="12">
        <f t="shared" si="16"/>
        <v>7.1174377224195238E-4</v>
      </c>
      <c r="S238">
        <v>149.80000000000001</v>
      </c>
      <c r="T238">
        <v>140.30000000000001</v>
      </c>
      <c r="U238">
        <v>133</v>
      </c>
      <c r="V238">
        <v>139.30000000000001</v>
      </c>
      <c r="W238">
        <v>134.4</v>
      </c>
      <c r="X238">
        <v>129.80000000000001</v>
      </c>
      <c r="Y238" s="12">
        <f t="shared" si="17"/>
        <v>9.1673675357443279E-2</v>
      </c>
      <c r="Z238">
        <v>132.80000000000001</v>
      </c>
      <c r="AA238">
        <v>130.19999999999999</v>
      </c>
      <c r="AB238" s="12">
        <f t="shared" si="18"/>
        <v>3.5799522673030909E-2</v>
      </c>
      <c r="AC238">
        <v>117.3</v>
      </c>
      <c r="AD238">
        <v>127.3</v>
      </c>
      <c r="AE238">
        <v>137.6</v>
      </c>
      <c r="AF238">
        <v>124.5</v>
      </c>
      <c r="AG238">
        <v>126.8</v>
      </c>
      <c r="AH238">
        <v>135.4</v>
      </c>
      <c r="AI238" t="str">
        <f t="shared" si="19"/>
        <v>No</v>
      </c>
    </row>
    <row r="239" spans="1:35" x14ac:dyDescent="0.25">
      <c r="A239" t="s">
        <v>30</v>
      </c>
      <c r="B239">
        <v>2018</v>
      </c>
      <c r="C239">
        <v>8</v>
      </c>
      <c r="D239" s="13">
        <f t="shared" si="15"/>
        <v>43313</v>
      </c>
      <c r="E239">
        <v>139.19999999999999</v>
      </c>
      <c r="F239">
        <v>148.80000000000001</v>
      </c>
      <c r="G239">
        <v>139.1</v>
      </c>
      <c r="H239">
        <v>143.5</v>
      </c>
      <c r="I239">
        <v>125</v>
      </c>
      <c r="J239">
        <v>154.4</v>
      </c>
      <c r="K239">
        <v>156.30000000000001</v>
      </c>
      <c r="L239">
        <v>126.8</v>
      </c>
      <c r="M239">
        <v>115.4</v>
      </c>
      <c r="N239">
        <v>138.6</v>
      </c>
      <c r="O239">
        <v>133.80000000000001</v>
      </c>
      <c r="P239">
        <v>155.19999999999999</v>
      </c>
      <c r="Q239">
        <v>142.69999999999999</v>
      </c>
      <c r="R239" s="12">
        <f t="shared" si="16"/>
        <v>1.4935988620199106E-2</v>
      </c>
      <c r="S239">
        <v>156.4</v>
      </c>
      <c r="T239">
        <v>152.1</v>
      </c>
      <c r="U239">
        <v>145.80000000000001</v>
      </c>
      <c r="V239">
        <v>151.30000000000001</v>
      </c>
      <c r="W239" t="s">
        <v>31</v>
      </c>
      <c r="X239">
        <v>147.69999999999999</v>
      </c>
      <c r="Y239" s="12">
        <f t="shared" si="17"/>
        <v>0.13790446841294279</v>
      </c>
      <c r="Z239">
        <v>143.80000000000001</v>
      </c>
      <c r="AA239">
        <v>139.4</v>
      </c>
      <c r="AB239" s="12">
        <f t="shared" si="18"/>
        <v>7.0660522273425633E-2</v>
      </c>
      <c r="AC239">
        <v>128.30000000000001</v>
      </c>
      <c r="AD239">
        <v>138.6</v>
      </c>
      <c r="AE239">
        <v>146.9</v>
      </c>
      <c r="AF239">
        <v>131.30000000000001</v>
      </c>
      <c r="AG239">
        <v>136.6</v>
      </c>
      <c r="AH239">
        <v>142.5</v>
      </c>
      <c r="AI239" t="str">
        <f t="shared" si="19"/>
        <v>Yes</v>
      </c>
    </row>
    <row r="240" spans="1:35" x14ac:dyDescent="0.25">
      <c r="A240" t="s">
        <v>32</v>
      </c>
      <c r="B240">
        <v>2018</v>
      </c>
      <c r="C240">
        <v>8</v>
      </c>
      <c r="D240" s="13">
        <f t="shared" si="15"/>
        <v>43313</v>
      </c>
      <c r="E240">
        <v>136.5</v>
      </c>
      <c r="F240">
        <v>146.4</v>
      </c>
      <c r="G240">
        <v>136.6</v>
      </c>
      <c r="H240">
        <v>141.19999999999999</v>
      </c>
      <c r="I240">
        <v>117.4</v>
      </c>
      <c r="J240">
        <v>146.30000000000001</v>
      </c>
      <c r="K240">
        <v>157.30000000000001</v>
      </c>
      <c r="L240">
        <v>113.6</v>
      </c>
      <c r="M240">
        <v>113.3</v>
      </c>
      <c r="N240">
        <v>141.1</v>
      </c>
      <c r="O240">
        <v>127.4</v>
      </c>
      <c r="P240">
        <v>150.4</v>
      </c>
      <c r="Q240">
        <v>140.1</v>
      </c>
      <c r="R240" s="12">
        <f t="shared" si="16"/>
        <v>-1.8220042046250839E-2</v>
      </c>
      <c r="S240">
        <v>162.1</v>
      </c>
      <c r="T240">
        <v>140</v>
      </c>
      <c r="U240">
        <v>129</v>
      </c>
      <c r="V240">
        <v>138.30000000000001</v>
      </c>
      <c r="W240">
        <v>144.6</v>
      </c>
      <c r="X240">
        <v>129.80000000000001</v>
      </c>
      <c r="Y240" s="12">
        <f t="shared" si="17"/>
        <v>-0.12119160460392674</v>
      </c>
      <c r="Z240">
        <v>134.4</v>
      </c>
      <c r="AA240">
        <v>134.9</v>
      </c>
      <c r="AB240" s="12">
        <f t="shared" si="18"/>
        <v>-3.2281205164992825E-2</v>
      </c>
      <c r="AC240">
        <v>120.7</v>
      </c>
      <c r="AD240">
        <v>129.80000000000001</v>
      </c>
      <c r="AE240">
        <v>145.30000000000001</v>
      </c>
      <c r="AF240">
        <v>128.30000000000001</v>
      </c>
      <c r="AG240">
        <v>131</v>
      </c>
      <c r="AH240">
        <v>138</v>
      </c>
      <c r="AI240" t="str">
        <f t="shared" si="19"/>
        <v>No</v>
      </c>
    </row>
    <row r="241" spans="1:35" x14ac:dyDescent="0.25">
      <c r="A241" t="s">
        <v>33</v>
      </c>
      <c r="B241">
        <v>2018</v>
      </c>
      <c r="C241">
        <v>8</v>
      </c>
      <c r="D241" s="13">
        <f t="shared" si="15"/>
        <v>43313</v>
      </c>
      <c r="E241">
        <v>138.30000000000001</v>
      </c>
      <c r="F241">
        <v>148</v>
      </c>
      <c r="G241">
        <v>138.1</v>
      </c>
      <c r="H241">
        <v>142.6</v>
      </c>
      <c r="I241">
        <v>122.2</v>
      </c>
      <c r="J241">
        <v>150.6</v>
      </c>
      <c r="K241">
        <v>156.6</v>
      </c>
      <c r="L241">
        <v>122.4</v>
      </c>
      <c r="M241">
        <v>114.7</v>
      </c>
      <c r="N241">
        <v>139.4</v>
      </c>
      <c r="O241">
        <v>131.1</v>
      </c>
      <c r="P241">
        <v>153</v>
      </c>
      <c r="Q241">
        <v>141.69999999999999</v>
      </c>
      <c r="R241" s="12">
        <f t="shared" si="16"/>
        <v>1.1420413990007098E-2</v>
      </c>
      <c r="S241">
        <v>157.9</v>
      </c>
      <c r="T241">
        <v>147.30000000000001</v>
      </c>
      <c r="U241">
        <v>138.80000000000001</v>
      </c>
      <c r="V241">
        <v>146.1</v>
      </c>
      <c r="W241">
        <v>144.6</v>
      </c>
      <c r="X241">
        <v>140.9</v>
      </c>
      <c r="Y241" s="12">
        <f t="shared" si="17"/>
        <v>8.5516178736517665E-2</v>
      </c>
      <c r="Z241">
        <v>139.4</v>
      </c>
      <c r="AA241">
        <v>137.69999999999999</v>
      </c>
      <c r="AB241" s="12">
        <f t="shared" si="18"/>
        <v>2.075611564121559E-2</v>
      </c>
      <c r="AC241">
        <v>124.3</v>
      </c>
      <c r="AD241">
        <v>133.6</v>
      </c>
      <c r="AE241">
        <v>146</v>
      </c>
      <c r="AF241">
        <v>130.1</v>
      </c>
      <c r="AG241">
        <v>133.9</v>
      </c>
      <c r="AH241">
        <v>140.4</v>
      </c>
      <c r="AI241" t="str">
        <f t="shared" si="19"/>
        <v>Yes</v>
      </c>
    </row>
    <row r="242" spans="1:35" x14ac:dyDescent="0.25">
      <c r="A242" t="s">
        <v>30</v>
      </c>
      <c r="B242">
        <v>2019</v>
      </c>
      <c r="C242">
        <v>8</v>
      </c>
      <c r="D242" s="13">
        <f t="shared" si="15"/>
        <v>43678</v>
      </c>
      <c r="E242">
        <v>139.19999999999999</v>
      </c>
      <c r="F242">
        <v>161.9</v>
      </c>
      <c r="G242">
        <v>137.1</v>
      </c>
      <c r="H242">
        <v>144.6</v>
      </c>
      <c r="I242">
        <v>124.7</v>
      </c>
      <c r="J242">
        <v>145.5</v>
      </c>
      <c r="K242">
        <v>156.19999999999999</v>
      </c>
      <c r="L242">
        <v>131.5</v>
      </c>
      <c r="M242">
        <v>111.7</v>
      </c>
      <c r="N242">
        <v>142.69999999999999</v>
      </c>
      <c r="O242">
        <v>138.5</v>
      </c>
      <c r="P242">
        <v>156.9</v>
      </c>
      <c r="Q242">
        <v>144</v>
      </c>
      <c r="R242" s="12">
        <f t="shared" si="16"/>
        <v>1.6231474947071358E-2</v>
      </c>
      <c r="S242">
        <v>165.1</v>
      </c>
      <c r="T242">
        <v>151.80000000000001</v>
      </c>
      <c r="U242">
        <v>146.6</v>
      </c>
      <c r="V242">
        <v>151.1</v>
      </c>
      <c r="W242" t="s">
        <v>31</v>
      </c>
      <c r="X242">
        <v>146.4</v>
      </c>
      <c r="Y242" s="12">
        <f t="shared" si="17"/>
        <v>3.9034776437189493E-2</v>
      </c>
      <c r="Z242">
        <v>150.19999999999999</v>
      </c>
      <c r="AA242">
        <v>152.69999999999999</v>
      </c>
      <c r="AB242" s="12">
        <f t="shared" si="18"/>
        <v>0.10893246187363835</v>
      </c>
      <c r="AC242">
        <v>131.4</v>
      </c>
      <c r="AD242">
        <v>148</v>
      </c>
      <c r="AE242">
        <v>159.69999999999999</v>
      </c>
      <c r="AF242">
        <v>138.80000000000001</v>
      </c>
      <c r="AG242">
        <v>144.9</v>
      </c>
      <c r="AH242">
        <v>145.69999999999999</v>
      </c>
      <c r="AI242" t="str">
        <f t="shared" si="19"/>
        <v>No</v>
      </c>
    </row>
    <row r="243" spans="1:35" x14ac:dyDescent="0.25">
      <c r="A243" t="s">
        <v>32</v>
      </c>
      <c r="B243">
        <v>2019</v>
      </c>
      <c r="C243">
        <v>8</v>
      </c>
      <c r="D243" s="13">
        <f t="shared" si="15"/>
        <v>43678</v>
      </c>
      <c r="E243">
        <v>142.1</v>
      </c>
      <c r="F243">
        <v>158.30000000000001</v>
      </c>
      <c r="G243">
        <v>140.80000000000001</v>
      </c>
      <c r="H243">
        <v>144.9</v>
      </c>
      <c r="I243">
        <v>119.9</v>
      </c>
      <c r="J243">
        <v>153.9</v>
      </c>
      <c r="K243">
        <v>189.1</v>
      </c>
      <c r="L243">
        <v>129.80000000000001</v>
      </c>
      <c r="M243">
        <v>112.7</v>
      </c>
      <c r="N243">
        <v>142.5</v>
      </c>
      <c r="O243">
        <v>129.80000000000001</v>
      </c>
      <c r="P243">
        <v>156.19999999999999</v>
      </c>
      <c r="Q243">
        <v>149.1</v>
      </c>
      <c r="R243" s="12">
        <f t="shared" si="16"/>
        <v>3.5416666666666624E-2</v>
      </c>
      <c r="S243">
        <v>167.9</v>
      </c>
      <c r="T243">
        <v>145</v>
      </c>
      <c r="U243">
        <v>132.19999999999999</v>
      </c>
      <c r="V243">
        <v>143</v>
      </c>
      <c r="W243">
        <v>151.6</v>
      </c>
      <c r="X243">
        <v>125.5</v>
      </c>
      <c r="Y243" s="12">
        <f t="shared" si="17"/>
        <v>-0.14275956284153007</v>
      </c>
      <c r="Z243">
        <v>138.1</v>
      </c>
      <c r="AA243">
        <v>141.5</v>
      </c>
      <c r="AB243" s="12">
        <f t="shared" si="18"/>
        <v>-7.3346430910281535E-2</v>
      </c>
      <c r="AC243">
        <v>120.8</v>
      </c>
      <c r="AD243">
        <v>135.4</v>
      </c>
      <c r="AE243">
        <v>151.5</v>
      </c>
      <c r="AF243">
        <v>137.80000000000001</v>
      </c>
      <c r="AG243">
        <v>135.30000000000001</v>
      </c>
      <c r="AH243">
        <v>144.19999999999999</v>
      </c>
      <c r="AI243" t="str">
        <f t="shared" si="19"/>
        <v>Yes</v>
      </c>
    </row>
    <row r="244" spans="1:35" x14ac:dyDescent="0.25">
      <c r="A244" t="s">
        <v>33</v>
      </c>
      <c r="B244">
        <v>2019</v>
      </c>
      <c r="C244">
        <v>8</v>
      </c>
      <c r="D244" s="13">
        <f t="shared" si="15"/>
        <v>43678</v>
      </c>
      <c r="E244">
        <v>140.1</v>
      </c>
      <c r="F244">
        <v>160.6</v>
      </c>
      <c r="G244">
        <v>138.5</v>
      </c>
      <c r="H244">
        <v>144.69999999999999</v>
      </c>
      <c r="I244">
        <v>122.9</v>
      </c>
      <c r="J244">
        <v>149.4</v>
      </c>
      <c r="K244">
        <v>167.4</v>
      </c>
      <c r="L244">
        <v>130.9</v>
      </c>
      <c r="M244">
        <v>112</v>
      </c>
      <c r="N244">
        <v>142.6</v>
      </c>
      <c r="O244">
        <v>134.9</v>
      </c>
      <c r="P244">
        <v>156.6</v>
      </c>
      <c r="Q244">
        <v>145.9</v>
      </c>
      <c r="R244" s="12">
        <f t="shared" si="16"/>
        <v>-2.1462105969148146E-2</v>
      </c>
      <c r="S244">
        <v>165.8</v>
      </c>
      <c r="T244">
        <v>149.1</v>
      </c>
      <c r="U244">
        <v>140.6</v>
      </c>
      <c r="V244">
        <v>147.9</v>
      </c>
      <c r="W244">
        <v>151.6</v>
      </c>
      <c r="X244">
        <v>138.5</v>
      </c>
      <c r="Y244" s="12">
        <f t="shared" si="17"/>
        <v>0.10358565737051793</v>
      </c>
      <c r="Z244">
        <v>144.5</v>
      </c>
      <c r="AA244">
        <v>148.5</v>
      </c>
      <c r="AB244" s="12">
        <f t="shared" si="18"/>
        <v>4.9469964664310952E-2</v>
      </c>
      <c r="AC244">
        <v>125.8</v>
      </c>
      <c r="AD244">
        <v>140.9</v>
      </c>
      <c r="AE244">
        <v>154.9</v>
      </c>
      <c r="AF244">
        <v>138.4</v>
      </c>
      <c r="AG244">
        <v>140.19999999999999</v>
      </c>
      <c r="AH244">
        <v>145</v>
      </c>
      <c r="AI244" t="str">
        <f t="shared" si="19"/>
        <v>No</v>
      </c>
    </row>
    <row r="245" spans="1:35" x14ac:dyDescent="0.25">
      <c r="A245" t="s">
        <v>30</v>
      </c>
      <c r="B245">
        <v>2020</v>
      </c>
      <c r="C245">
        <v>8</v>
      </c>
      <c r="D245" s="13">
        <f t="shared" si="15"/>
        <v>44044</v>
      </c>
      <c r="E245">
        <v>147.6</v>
      </c>
      <c r="F245">
        <v>187.2</v>
      </c>
      <c r="G245">
        <v>148.4</v>
      </c>
      <c r="H245">
        <v>153.30000000000001</v>
      </c>
      <c r="I245">
        <v>139.80000000000001</v>
      </c>
      <c r="J245">
        <v>146.9</v>
      </c>
      <c r="K245">
        <v>171</v>
      </c>
      <c r="L245">
        <v>149.9</v>
      </c>
      <c r="M245">
        <v>114.2</v>
      </c>
      <c r="N245">
        <v>160</v>
      </c>
      <c r="O245">
        <v>143.5</v>
      </c>
      <c r="P245">
        <v>161.5</v>
      </c>
      <c r="Q245">
        <v>155.30000000000001</v>
      </c>
      <c r="R245" s="12">
        <f t="shared" si="16"/>
        <v>6.4427690198766319E-2</v>
      </c>
      <c r="S245">
        <v>180.9</v>
      </c>
      <c r="T245">
        <v>155.1</v>
      </c>
      <c r="U245">
        <v>149.30000000000001</v>
      </c>
      <c r="V245">
        <v>154.30000000000001</v>
      </c>
      <c r="W245" t="s">
        <v>31</v>
      </c>
      <c r="X245">
        <v>145.80000000000001</v>
      </c>
      <c r="Y245" s="12">
        <f t="shared" si="17"/>
        <v>5.2707581227436906E-2</v>
      </c>
      <c r="Z245">
        <v>151.9</v>
      </c>
      <c r="AA245">
        <v>158.80000000000001</v>
      </c>
      <c r="AB245" s="12">
        <f t="shared" si="18"/>
        <v>6.9360269360269441E-2</v>
      </c>
      <c r="AC245">
        <v>143.6</v>
      </c>
      <c r="AD245">
        <v>152.19999999999999</v>
      </c>
      <c r="AE245">
        <v>162.69999999999999</v>
      </c>
      <c r="AF245">
        <v>153.6</v>
      </c>
      <c r="AG245">
        <v>153</v>
      </c>
      <c r="AH245">
        <v>154.69999999999999</v>
      </c>
      <c r="AI245" t="str">
        <f t="shared" si="19"/>
        <v>No</v>
      </c>
    </row>
    <row r="246" spans="1:35" x14ac:dyDescent="0.25">
      <c r="A246" t="s">
        <v>32</v>
      </c>
      <c r="B246">
        <v>2020</v>
      </c>
      <c r="C246">
        <v>8</v>
      </c>
      <c r="D246" s="13">
        <f t="shared" si="15"/>
        <v>44044</v>
      </c>
      <c r="E246">
        <v>151.6</v>
      </c>
      <c r="F246">
        <v>197.8</v>
      </c>
      <c r="G246">
        <v>154.5</v>
      </c>
      <c r="H246">
        <v>153.4</v>
      </c>
      <c r="I246">
        <v>133.4</v>
      </c>
      <c r="J246">
        <v>154.5</v>
      </c>
      <c r="K246">
        <v>191.9</v>
      </c>
      <c r="L246">
        <v>151.30000000000001</v>
      </c>
      <c r="M246">
        <v>116.8</v>
      </c>
      <c r="N246">
        <v>160</v>
      </c>
      <c r="O246">
        <v>136.5</v>
      </c>
      <c r="P246">
        <v>163.30000000000001</v>
      </c>
      <c r="Q246">
        <v>159.9</v>
      </c>
      <c r="R246" s="12">
        <f t="shared" si="16"/>
        <v>2.9620090148100412E-2</v>
      </c>
      <c r="S246">
        <v>187.2</v>
      </c>
      <c r="T246">
        <v>150</v>
      </c>
      <c r="U246">
        <v>135.19999999999999</v>
      </c>
      <c r="V246">
        <v>147.80000000000001</v>
      </c>
      <c r="W246">
        <v>155.5</v>
      </c>
      <c r="X246">
        <v>138.30000000000001</v>
      </c>
      <c r="Y246" s="12">
        <f t="shared" si="17"/>
        <v>-5.1440329218106991E-2</v>
      </c>
      <c r="Z246">
        <v>144.5</v>
      </c>
      <c r="AA246">
        <v>148.69999999999999</v>
      </c>
      <c r="AB246" s="12">
        <f t="shared" si="18"/>
        <v>-6.3602015113350271E-2</v>
      </c>
      <c r="AC246">
        <v>133.9</v>
      </c>
      <c r="AD246">
        <v>141.19999999999999</v>
      </c>
      <c r="AE246">
        <v>155.5</v>
      </c>
      <c r="AF246">
        <v>155.19999999999999</v>
      </c>
      <c r="AG246">
        <v>144.80000000000001</v>
      </c>
      <c r="AH246">
        <v>152.9</v>
      </c>
      <c r="AI246" t="str">
        <f t="shared" si="19"/>
        <v>Yes</v>
      </c>
    </row>
    <row r="247" spans="1:35" x14ac:dyDescent="0.25">
      <c r="A247" t="s">
        <v>33</v>
      </c>
      <c r="B247">
        <v>2020</v>
      </c>
      <c r="C247">
        <v>8</v>
      </c>
      <c r="D247" s="13">
        <f t="shared" si="15"/>
        <v>44044</v>
      </c>
      <c r="E247">
        <v>148.9</v>
      </c>
      <c r="F247">
        <v>190.9</v>
      </c>
      <c r="G247">
        <v>150.80000000000001</v>
      </c>
      <c r="H247">
        <v>153.30000000000001</v>
      </c>
      <c r="I247">
        <v>137.4</v>
      </c>
      <c r="J247">
        <v>150.4</v>
      </c>
      <c r="K247">
        <v>178.1</v>
      </c>
      <c r="L247">
        <v>150.4</v>
      </c>
      <c r="M247">
        <v>115.1</v>
      </c>
      <c r="N247">
        <v>160</v>
      </c>
      <c r="O247">
        <v>140.6</v>
      </c>
      <c r="P247">
        <v>162.30000000000001</v>
      </c>
      <c r="Q247">
        <v>157</v>
      </c>
      <c r="R247" s="12">
        <f t="shared" si="16"/>
        <v>-1.8136335209505975E-2</v>
      </c>
      <c r="S247">
        <v>182.6</v>
      </c>
      <c r="T247">
        <v>153.1</v>
      </c>
      <c r="U247">
        <v>143.4</v>
      </c>
      <c r="V247">
        <v>151.69999999999999</v>
      </c>
      <c r="W247">
        <v>155.5</v>
      </c>
      <c r="X247">
        <v>143</v>
      </c>
      <c r="Y247" s="12">
        <f t="shared" si="17"/>
        <v>3.3984092552422185E-2</v>
      </c>
      <c r="Z247">
        <v>148.4</v>
      </c>
      <c r="AA247">
        <v>155</v>
      </c>
      <c r="AB247" s="12">
        <f t="shared" si="18"/>
        <v>4.2367182246133235E-2</v>
      </c>
      <c r="AC247">
        <v>138.5</v>
      </c>
      <c r="AD247">
        <v>146</v>
      </c>
      <c r="AE247">
        <v>158.5</v>
      </c>
      <c r="AF247">
        <v>154.30000000000001</v>
      </c>
      <c r="AG247">
        <v>149</v>
      </c>
      <c r="AH247">
        <v>153.9</v>
      </c>
      <c r="AI247" t="str">
        <f t="shared" si="19"/>
        <v>Yes</v>
      </c>
    </row>
    <row r="248" spans="1:35" x14ac:dyDescent="0.25">
      <c r="A248" t="s">
        <v>30</v>
      </c>
      <c r="B248">
        <v>2021</v>
      </c>
      <c r="C248">
        <v>8</v>
      </c>
      <c r="D248" s="13">
        <f t="shared" si="15"/>
        <v>44409</v>
      </c>
      <c r="E248">
        <v>144.9</v>
      </c>
      <c r="F248">
        <v>202.3</v>
      </c>
      <c r="G248">
        <v>176.5</v>
      </c>
      <c r="H248">
        <v>157.5</v>
      </c>
      <c r="I248">
        <v>190.9</v>
      </c>
      <c r="J248">
        <v>155.69999999999999</v>
      </c>
      <c r="K248">
        <v>153.9</v>
      </c>
      <c r="L248">
        <v>162.80000000000001</v>
      </c>
      <c r="M248">
        <v>115.2</v>
      </c>
      <c r="N248">
        <v>169.8</v>
      </c>
      <c r="O248">
        <v>167.6</v>
      </c>
      <c r="P248">
        <v>171.9</v>
      </c>
      <c r="Q248">
        <v>161.80000000000001</v>
      </c>
      <c r="R248" s="12">
        <f t="shared" si="16"/>
        <v>3.0573248407643385E-2</v>
      </c>
      <c r="S248">
        <v>190.2</v>
      </c>
      <c r="T248">
        <v>167</v>
      </c>
      <c r="U248">
        <v>162.6</v>
      </c>
      <c r="V248">
        <v>166.3</v>
      </c>
      <c r="W248" t="s">
        <v>31</v>
      </c>
      <c r="X248">
        <v>163.1</v>
      </c>
      <c r="Y248" s="12">
        <f t="shared" si="17"/>
        <v>0.14055944055944053</v>
      </c>
      <c r="Z248">
        <v>160.9</v>
      </c>
      <c r="AA248">
        <v>171.1</v>
      </c>
      <c r="AB248" s="12">
        <f t="shared" si="18"/>
        <v>0.10387096774193545</v>
      </c>
      <c r="AC248">
        <v>157.69999999999999</v>
      </c>
      <c r="AD248">
        <v>161.1</v>
      </c>
      <c r="AE248">
        <v>167.5</v>
      </c>
      <c r="AF248">
        <v>160.30000000000001</v>
      </c>
      <c r="AG248">
        <v>163.30000000000001</v>
      </c>
      <c r="AH248">
        <v>163.6</v>
      </c>
      <c r="AI248" t="str">
        <f t="shared" si="19"/>
        <v>Yes</v>
      </c>
    </row>
    <row r="249" spans="1:35" x14ac:dyDescent="0.25">
      <c r="A249" t="s">
        <v>32</v>
      </c>
      <c r="B249">
        <v>2021</v>
      </c>
      <c r="C249">
        <v>8</v>
      </c>
      <c r="D249" s="13">
        <f t="shared" si="15"/>
        <v>44409</v>
      </c>
      <c r="E249">
        <v>149.30000000000001</v>
      </c>
      <c r="F249">
        <v>207.4</v>
      </c>
      <c r="G249">
        <v>174.1</v>
      </c>
      <c r="H249">
        <v>159.19999999999999</v>
      </c>
      <c r="I249">
        <v>175</v>
      </c>
      <c r="J249">
        <v>161.30000000000001</v>
      </c>
      <c r="K249">
        <v>183.3</v>
      </c>
      <c r="L249">
        <v>164.5</v>
      </c>
      <c r="M249">
        <v>120.4</v>
      </c>
      <c r="N249">
        <v>166.2</v>
      </c>
      <c r="O249">
        <v>154.80000000000001</v>
      </c>
      <c r="P249">
        <v>175.1</v>
      </c>
      <c r="Q249">
        <v>167.3</v>
      </c>
      <c r="R249" s="12">
        <f t="shared" si="16"/>
        <v>3.3992583436341157E-2</v>
      </c>
      <c r="S249">
        <v>196.5</v>
      </c>
      <c r="T249">
        <v>159.80000000000001</v>
      </c>
      <c r="U249">
        <v>143.6</v>
      </c>
      <c r="V249">
        <v>157.30000000000001</v>
      </c>
      <c r="W249">
        <v>162.1</v>
      </c>
      <c r="X249">
        <v>160.69999999999999</v>
      </c>
      <c r="Y249" s="12">
        <f t="shared" si="17"/>
        <v>-1.4714898835070545E-2</v>
      </c>
      <c r="Z249">
        <v>153.19999999999999</v>
      </c>
      <c r="AA249">
        <v>162.80000000000001</v>
      </c>
      <c r="AB249" s="12">
        <f t="shared" si="18"/>
        <v>-4.8509643483342975E-2</v>
      </c>
      <c r="AC249">
        <v>150.4</v>
      </c>
      <c r="AD249">
        <v>153.69999999999999</v>
      </c>
      <c r="AE249">
        <v>160.4</v>
      </c>
      <c r="AF249">
        <v>159.6</v>
      </c>
      <c r="AG249">
        <v>156</v>
      </c>
      <c r="AH249">
        <v>162.30000000000001</v>
      </c>
      <c r="AI249" t="str">
        <f t="shared" si="19"/>
        <v>Yes</v>
      </c>
    </row>
    <row r="250" spans="1:35" x14ac:dyDescent="0.25">
      <c r="A250" t="s">
        <v>33</v>
      </c>
      <c r="B250">
        <v>2021</v>
      </c>
      <c r="C250">
        <v>8</v>
      </c>
      <c r="D250" s="13">
        <f t="shared" si="15"/>
        <v>44409</v>
      </c>
      <c r="E250">
        <v>146.6</v>
      </c>
      <c r="F250">
        <v>204</v>
      </c>
      <c r="G250">
        <v>172.8</v>
      </c>
      <c r="H250">
        <v>158.4</v>
      </c>
      <c r="I250">
        <v>188</v>
      </c>
      <c r="J250">
        <v>156.80000000000001</v>
      </c>
      <c r="K250">
        <v>162.19999999999999</v>
      </c>
      <c r="L250">
        <v>164.1</v>
      </c>
      <c r="M250">
        <v>119.7</v>
      </c>
      <c r="N250">
        <v>168.8</v>
      </c>
      <c r="O250">
        <v>162.69999999999999</v>
      </c>
      <c r="P250">
        <v>173.9</v>
      </c>
      <c r="Q250">
        <v>164</v>
      </c>
      <c r="R250" s="12">
        <f t="shared" si="16"/>
        <v>-1.9725044829647407E-2</v>
      </c>
      <c r="S250">
        <v>192.1</v>
      </c>
      <c r="T250">
        <v>164.5</v>
      </c>
      <c r="U250">
        <v>155.30000000000001</v>
      </c>
      <c r="V250">
        <v>163.19999999999999</v>
      </c>
      <c r="W250">
        <v>162.1</v>
      </c>
      <c r="X250">
        <v>162.6</v>
      </c>
      <c r="Y250" s="12">
        <f t="shared" si="17"/>
        <v>1.1823273179838244E-2</v>
      </c>
      <c r="Z250">
        <v>157.5</v>
      </c>
      <c r="AA250">
        <v>168.4</v>
      </c>
      <c r="AB250" s="12">
        <f t="shared" si="18"/>
        <v>3.4398034398034363E-2</v>
      </c>
      <c r="AC250">
        <v>154</v>
      </c>
      <c r="AD250">
        <v>157.6</v>
      </c>
      <c r="AE250">
        <v>163.80000000000001</v>
      </c>
      <c r="AF250">
        <v>160</v>
      </c>
      <c r="AG250">
        <v>160</v>
      </c>
      <c r="AH250">
        <v>163.19999999999999</v>
      </c>
      <c r="AI250" t="str">
        <f t="shared" si="19"/>
        <v>Yes</v>
      </c>
    </row>
    <row r="251" spans="1:35" x14ac:dyDescent="0.25">
      <c r="A251" t="s">
        <v>30</v>
      </c>
      <c r="B251">
        <v>2022</v>
      </c>
      <c r="C251">
        <v>8</v>
      </c>
      <c r="D251" s="13">
        <f t="shared" si="15"/>
        <v>44774</v>
      </c>
      <c r="E251">
        <v>159.5</v>
      </c>
      <c r="F251">
        <v>204.1</v>
      </c>
      <c r="G251">
        <v>168.3</v>
      </c>
      <c r="H251">
        <v>167.9</v>
      </c>
      <c r="I251">
        <v>198.1</v>
      </c>
      <c r="J251">
        <v>169.2</v>
      </c>
      <c r="K251">
        <v>173.1</v>
      </c>
      <c r="L251">
        <v>167.1</v>
      </c>
      <c r="M251">
        <v>120.2</v>
      </c>
      <c r="N251">
        <v>195.6</v>
      </c>
      <c r="O251">
        <v>174.8</v>
      </c>
      <c r="P251">
        <v>184</v>
      </c>
      <c r="Q251">
        <v>173.9</v>
      </c>
      <c r="R251" s="12">
        <f t="shared" si="16"/>
        <v>6.0365853658536618E-2</v>
      </c>
      <c r="S251">
        <v>193.7</v>
      </c>
      <c r="T251">
        <v>183.2</v>
      </c>
      <c r="U251">
        <v>181.7</v>
      </c>
      <c r="V251">
        <v>183</v>
      </c>
      <c r="W251" t="s">
        <v>31</v>
      </c>
      <c r="X251">
        <v>179.1</v>
      </c>
      <c r="Y251" s="12">
        <f t="shared" si="17"/>
        <v>0.1014760147601476</v>
      </c>
      <c r="Z251">
        <v>172.3</v>
      </c>
      <c r="AA251">
        <v>179.4</v>
      </c>
      <c r="AB251" s="12">
        <f t="shared" si="18"/>
        <v>6.5320665083135387E-2</v>
      </c>
      <c r="AC251">
        <v>166.6</v>
      </c>
      <c r="AD251">
        <v>169.3</v>
      </c>
      <c r="AE251">
        <v>175.7</v>
      </c>
      <c r="AF251">
        <v>171.1</v>
      </c>
      <c r="AG251">
        <v>172.6</v>
      </c>
      <c r="AH251">
        <v>175.3</v>
      </c>
      <c r="AI251" t="str">
        <f t="shared" si="19"/>
        <v>Yes</v>
      </c>
    </row>
    <row r="252" spans="1:35" x14ac:dyDescent="0.25">
      <c r="A252" t="s">
        <v>32</v>
      </c>
      <c r="B252">
        <v>2022</v>
      </c>
      <c r="C252">
        <v>8</v>
      </c>
      <c r="D252" s="13">
        <f t="shared" si="15"/>
        <v>44774</v>
      </c>
      <c r="E252">
        <v>162.1</v>
      </c>
      <c r="F252">
        <v>210.9</v>
      </c>
      <c r="G252">
        <v>170.6</v>
      </c>
      <c r="H252">
        <v>168.4</v>
      </c>
      <c r="I252">
        <v>182.5</v>
      </c>
      <c r="J252">
        <v>177.1</v>
      </c>
      <c r="K252">
        <v>213.1</v>
      </c>
      <c r="L252">
        <v>167.3</v>
      </c>
      <c r="M252">
        <v>122.2</v>
      </c>
      <c r="N252">
        <v>189.7</v>
      </c>
      <c r="O252">
        <v>160.5</v>
      </c>
      <c r="P252">
        <v>188.9</v>
      </c>
      <c r="Q252">
        <v>180.4</v>
      </c>
      <c r="R252" s="12">
        <f t="shared" si="16"/>
        <v>3.7377803335250141E-2</v>
      </c>
      <c r="S252">
        <v>198.7</v>
      </c>
      <c r="T252">
        <v>173.7</v>
      </c>
      <c r="U252">
        <v>160</v>
      </c>
      <c r="V252">
        <v>171.6</v>
      </c>
      <c r="W252">
        <v>169</v>
      </c>
      <c r="X252">
        <v>178.4</v>
      </c>
      <c r="Y252" s="12">
        <f t="shared" si="17"/>
        <v>-3.9084310441093728E-3</v>
      </c>
      <c r="Z252">
        <v>164.2</v>
      </c>
      <c r="AA252">
        <v>172.6</v>
      </c>
      <c r="AB252" s="12">
        <f t="shared" si="18"/>
        <v>-3.7904124860646662E-2</v>
      </c>
      <c r="AC252">
        <v>157.69999999999999</v>
      </c>
      <c r="AD252">
        <v>165.1</v>
      </c>
      <c r="AE252">
        <v>169.9</v>
      </c>
      <c r="AF252">
        <v>171.4</v>
      </c>
      <c r="AG252">
        <v>165.4</v>
      </c>
      <c r="AH252">
        <v>173.1</v>
      </c>
      <c r="AI252" t="str">
        <f t="shared" si="19"/>
        <v>Yes</v>
      </c>
    </row>
    <row r="253" spans="1:35" x14ac:dyDescent="0.25">
      <c r="A253" t="s">
        <v>33</v>
      </c>
      <c r="B253">
        <v>2022</v>
      </c>
      <c r="C253">
        <v>8</v>
      </c>
      <c r="D253" s="13">
        <f t="shared" si="15"/>
        <v>44774</v>
      </c>
      <c r="E253">
        <v>160.30000000000001</v>
      </c>
      <c r="F253">
        <v>206.5</v>
      </c>
      <c r="G253">
        <v>169.2</v>
      </c>
      <c r="H253">
        <v>168.1</v>
      </c>
      <c r="I253">
        <v>192.4</v>
      </c>
      <c r="J253">
        <v>172.9</v>
      </c>
      <c r="K253">
        <v>186.7</v>
      </c>
      <c r="L253">
        <v>167.2</v>
      </c>
      <c r="M253">
        <v>120.9</v>
      </c>
      <c r="N253">
        <v>193.6</v>
      </c>
      <c r="O253">
        <v>168.8</v>
      </c>
      <c r="P253">
        <v>186.3</v>
      </c>
      <c r="Q253">
        <v>176.3</v>
      </c>
      <c r="R253" s="12">
        <f t="shared" si="16"/>
        <v>-2.2727272727272697E-2</v>
      </c>
      <c r="S253">
        <v>195</v>
      </c>
      <c r="T253">
        <v>179.5</v>
      </c>
      <c r="U253">
        <v>172.7</v>
      </c>
      <c r="V253">
        <v>178.5</v>
      </c>
      <c r="W253">
        <v>169</v>
      </c>
      <c r="X253">
        <v>178.8</v>
      </c>
      <c r="Y253" s="12">
        <f t="shared" si="17"/>
        <v>2.2421524663677446E-3</v>
      </c>
      <c r="Z253">
        <v>168.5</v>
      </c>
      <c r="AA253">
        <v>176.8</v>
      </c>
      <c r="AB253" s="12">
        <f t="shared" si="18"/>
        <v>2.4333719582850622E-2</v>
      </c>
      <c r="AC253">
        <v>161.9</v>
      </c>
      <c r="AD253">
        <v>166.9</v>
      </c>
      <c r="AE253">
        <v>172.3</v>
      </c>
      <c r="AF253">
        <v>171.2</v>
      </c>
      <c r="AG253">
        <v>169.1</v>
      </c>
      <c r="AH253">
        <v>174.3</v>
      </c>
      <c r="AI253" t="str">
        <f t="shared" si="19"/>
        <v>Yes</v>
      </c>
    </row>
    <row r="254" spans="1:35" x14ac:dyDescent="0.25">
      <c r="A254" t="s">
        <v>30</v>
      </c>
      <c r="B254">
        <v>2013</v>
      </c>
      <c r="C254">
        <v>9</v>
      </c>
      <c r="D254" s="13">
        <f t="shared" si="15"/>
        <v>41518</v>
      </c>
      <c r="E254">
        <v>115.4</v>
      </c>
      <c r="F254">
        <v>115.7</v>
      </c>
      <c r="G254">
        <v>111.7</v>
      </c>
      <c r="H254">
        <v>111</v>
      </c>
      <c r="I254">
        <v>107.4</v>
      </c>
      <c r="J254">
        <v>110.9</v>
      </c>
      <c r="K254">
        <v>154</v>
      </c>
      <c r="L254">
        <v>108.1</v>
      </c>
      <c r="M254">
        <v>104.2</v>
      </c>
      <c r="N254">
        <v>107.9</v>
      </c>
      <c r="O254">
        <v>110.4</v>
      </c>
      <c r="P254">
        <v>114</v>
      </c>
      <c r="Q254">
        <v>117.8</v>
      </c>
      <c r="R254" s="12">
        <f t="shared" si="16"/>
        <v>-0.33182076006806588</v>
      </c>
      <c r="S254">
        <v>111.7</v>
      </c>
      <c r="T254">
        <v>112.7</v>
      </c>
      <c r="U254">
        <v>111.4</v>
      </c>
      <c r="V254">
        <v>112.5</v>
      </c>
      <c r="W254" t="s">
        <v>31</v>
      </c>
      <c r="X254">
        <v>111.1</v>
      </c>
      <c r="Y254" s="12">
        <f t="shared" si="17"/>
        <v>-0.37863534675615218</v>
      </c>
      <c r="Z254">
        <v>109.6</v>
      </c>
      <c r="AA254">
        <v>108.3</v>
      </c>
      <c r="AB254" s="12">
        <f t="shared" si="18"/>
        <v>-0.38744343891402722</v>
      </c>
      <c r="AC254">
        <v>109.3</v>
      </c>
      <c r="AD254">
        <v>107.7</v>
      </c>
      <c r="AE254">
        <v>109.8</v>
      </c>
      <c r="AF254">
        <v>106.7</v>
      </c>
      <c r="AG254">
        <v>108.7</v>
      </c>
      <c r="AH254">
        <v>114.2</v>
      </c>
      <c r="AI254" t="str">
        <f t="shared" si="19"/>
        <v>No</v>
      </c>
    </row>
    <row r="255" spans="1:35" x14ac:dyDescent="0.25">
      <c r="A255" t="s">
        <v>32</v>
      </c>
      <c r="B255">
        <v>2013</v>
      </c>
      <c r="C255">
        <v>9</v>
      </c>
      <c r="D255" s="13">
        <f t="shared" si="15"/>
        <v>41518</v>
      </c>
      <c r="E255">
        <v>118.6</v>
      </c>
      <c r="F255">
        <v>119.1</v>
      </c>
      <c r="G255">
        <v>113.2</v>
      </c>
      <c r="H255">
        <v>109.6</v>
      </c>
      <c r="I255">
        <v>101.7</v>
      </c>
      <c r="J255">
        <v>103.2</v>
      </c>
      <c r="K255">
        <v>174.3</v>
      </c>
      <c r="L255">
        <v>105.1</v>
      </c>
      <c r="M255">
        <v>100.8</v>
      </c>
      <c r="N255">
        <v>109.1</v>
      </c>
      <c r="O255">
        <v>111.1</v>
      </c>
      <c r="P255">
        <v>115.4</v>
      </c>
      <c r="Q255">
        <v>119.2</v>
      </c>
      <c r="R255" s="12">
        <f t="shared" si="16"/>
        <v>1.1884550084889691E-2</v>
      </c>
      <c r="S255">
        <v>112.9</v>
      </c>
      <c r="T255">
        <v>111.4</v>
      </c>
      <c r="U255">
        <v>109</v>
      </c>
      <c r="V255">
        <v>111.1</v>
      </c>
      <c r="W255">
        <v>109.7</v>
      </c>
      <c r="X255">
        <v>109.5</v>
      </c>
      <c r="Y255" s="12">
        <f t="shared" si="17"/>
        <v>-1.4401440144014351E-2</v>
      </c>
      <c r="Z255">
        <v>109.6</v>
      </c>
      <c r="AA255">
        <v>107.9</v>
      </c>
      <c r="AB255" s="12">
        <f t="shared" si="18"/>
        <v>-3.6934441366573544E-3</v>
      </c>
      <c r="AC255">
        <v>110.4</v>
      </c>
      <c r="AD255">
        <v>107.4</v>
      </c>
      <c r="AE255">
        <v>111.2</v>
      </c>
      <c r="AF255">
        <v>106.9</v>
      </c>
      <c r="AG255">
        <v>109.4</v>
      </c>
      <c r="AH255">
        <v>113.2</v>
      </c>
      <c r="AI255" t="str">
        <f t="shared" si="19"/>
        <v>No</v>
      </c>
    </row>
    <row r="256" spans="1:35" x14ac:dyDescent="0.25">
      <c r="A256" t="s">
        <v>33</v>
      </c>
      <c r="B256">
        <v>2013</v>
      </c>
      <c r="C256">
        <v>9</v>
      </c>
      <c r="D256" s="13">
        <f t="shared" si="15"/>
        <v>41518</v>
      </c>
      <c r="E256">
        <v>116.4</v>
      </c>
      <c r="F256">
        <v>116.9</v>
      </c>
      <c r="G256">
        <v>112.3</v>
      </c>
      <c r="H256">
        <v>110.5</v>
      </c>
      <c r="I256">
        <v>105.3</v>
      </c>
      <c r="J256">
        <v>107.3</v>
      </c>
      <c r="K256">
        <v>160.9</v>
      </c>
      <c r="L256">
        <v>107.1</v>
      </c>
      <c r="M256">
        <v>103.1</v>
      </c>
      <c r="N256">
        <v>108.3</v>
      </c>
      <c r="O256">
        <v>110.7</v>
      </c>
      <c r="P256">
        <v>114.6</v>
      </c>
      <c r="Q256">
        <v>118.3</v>
      </c>
      <c r="R256" s="12">
        <f t="shared" si="16"/>
        <v>-7.5503355704698459E-3</v>
      </c>
      <c r="S256">
        <v>112</v>
      </c>
      <c r="T256">
        <v>112.2</v>
      </c>
      <c r="U256">
        <v>110.4</v>
      </c>
      <c r="V256">
        <v>111.9</v>
      </c>
      <c r="W256">
        <v>109.7</v>
      </c>
      <c r="X256">
        <v>110.5</v>
      </c>
      <c r="Y256" s="12">
        <f t="shared" si="17"/>
        <v>9.1324200913242004E-3</v>
      </c>
      <c r="Z256">
        <v>109.6</v>
      </c>
      <c r="AA256">
        <v>108.1</v>
      </c>
      <c r="AB256" s="12">
        <f t="shared" si="18"/>
        <v>1.8535681186282542E-3</v>
      </c>
      <c r="AC256">
        <v>109.9</v>
      </c>
      <c r="AD256">
        <v>107.5</v>
      </c>
      <c r="AE256">
        <v>110.6</v>
      </c>
      <c r="AF256">
        <v>106.8</v>
      </c>
      <c r="AG256">
        <v>109</v>
      </c>
      <c r="AH256">
        <v>113.7</v>
      </c>
      <c r="AI256" t="str">
        <f t="shared" si="19"/>
        <v>No</v>
      </c>
    </row>
    <row r="257" spans="1:35" x14ac:dyDescent="0.25">
      <c r="A257" t="s">
        <v>30</v>
      </c>
      <c r="B257">
        <v>2014</v>
      </c>
      <c r="C257">
        <v>9</v>
      </c>
      <c r="D257" s="13">
        <f t="shared" si="15"/>
        <v>41883</v>
      </c>
      <c r="E257">
        <v>122.3</v>
      </c>
      <c r="F257">
        <v>122.4</v>
      </c>
      <c r="G257">
        <v>117.8</v>
      </c>
      <c r="H257">
        <v>122.7</v>
      </c>
      <c r="I257">
        <v>110.4</v>
      </c>
      <c r="J257">
        <v>129.80000000000001</v>
      </c>
      <c r="K257">
        <v>158.80000000000001</v>
      </c>
      <c r="L257">
        <v>115</v>
      </c>
      <c r="M257">
        <v>104.7</v>
      </c>
      <c r="N257">
        <v>114.9</v>
      </c>
      <c r="O257">
        <v>116.5</v>
      </c>
      <c r="P257">
        <v>122.6</v>
      </c>
      <c r="Q257">
        <v>125.3</v>
      </c>
      <c r="R257" s="12">
        <f t="shared" si="16"/>
        <v>5.9171597633136098E-2</v>
      </c>
      <c r="S257">
        <v>119.5</v>
      </c>
      <c r="T257">
        <v>121.7</v>
      </c>
      <c r="U257">
        <v>119.2</v>
      </c>
      <c r="V257">
        <v>121.3</v>
      </c>
      <c r="W257" t="s">
        <v>31</v>
      </c>
      <c r="X257">
        <v>115.8</v>
      </c>
      <c r="Y257" s="12">
        <f t="shared" si="17"/>
        <v>4.7963800904977351E-2</v>
      </c>
      <c r="Z257">
        <v>116.7</v>
      </c>
      <c r="AA257">
        <v>114.5</v>
      </c>
      <c r="AB257" s="12">
        <f t="shared" si="18"/>
        <v>5.9204440333025035E-2</v>
      </c>
      <c r="AC257">
        <v>112.8</v>
      </c>
      <c r="AD257">
        <v>112.6</v>
      </c>
      <c r="AE257">
        <v>116.6</v>
      </c>
      <c r="AF257">
        <v>109.1</v>
      </c>
      <c r="AG257">
        <v>113.7</v>
      </c>
      <c r="AH257">
        <v>120.9</v>
      </c>
      <c r="AI257" t="str">
        <f t="shared" si="19"/>
        <v>No</v>
      </c>
    </row>
    <row r="258" spans="1:35" x14ac:dyDescent="0.25">
      <c r="A258" t="s">
        <v>32</v>
      </c>
      <c r="B258">
        <v>2014</v>
      </c>
      <c r="C258">
        <v>9</v>
      </c>
      <c r="D258" s="13">
        <f t="shared" si="15"/>
        <v>41883</v>
      </c>
      <c r="E258">
        <v>124.2</v>
      </c>
      <c r="F258">
        <v>125.4</v>
      </c>
      <c r="G258">
        <v>116.4</v>
      </c>
      <c r="H258">
        <v>122.7</v>
      </c>
      <c r="I258">
        <v>103.5</v>
      </c>
      <c r="J258">
        <v>124.5</v>
      </c>
      <c r="K258">
        <v>168.6</v>
      </c>
      <c r="L258">
        <v>116.9</v>
      </c>
      <c r="M258">
        <v>101.9</v>
      </c>
      <c r="N258">
        <v>122.9</v>
      </c>
      <c r="O258">
        <v>114.8</v>
      </c>
      <c r="P258">
        <v>125.2</v>
      </c>
      <c r="Q258">
        <v>126.7</v>
      </c>
      <c r="R258" s="12">
        <f t="shared" si="16"/>
        <v>1.1173184357541945E-2</v>
      </c>
      <c r="S258">
        <v>124.3</v>
      </c>
      <c r="T258">
        <v>119.2</v>
      </c>
      <c r="U258">
        <v>114.5</v>
      </c>
      <c r="V258">
        <v>118.4</v>
      </c>
      <c r="W258">
        <v>116.1</v>
      </c>
      <c r="X258">
        <v>111.8</v>
      </c>
      <c r="Y258" s="12">
        <f t="shared" si="17"/>
        <v>-3.4542314335060449E-2</v>
      </c>
      <c r="Z258">
        <v>115.5</v>
      </c>
      <c r="AA258">
        <v>112.3</v>
      </c>
      <c r="AB258" s="12">
        <f t="shared" si="18"/>
        <v>-1.9213973799126663E-2</v>
      </c>
      <c r="AC258">
        <v>111.2</v>
      </c>
      <c r="AD258">
        <v>113.4</v>
      </c>
      <c r="AE258">
        <v>120</v>
      </c>
      <c r="AF258">
        <v>110</v>
      </c>
      <c r="AG258">
        <v>113.6</v>
      </c>
      <c r="AH258">
        <v>119.2</v>
      </c>
      <c r="AI258" t="str">
        <f t="shared" si="19"/>
        <v>No</v>
      </c>
    </row>
    <row r="259" spans="1:35" x14ac:dyDescent="0.25">
      <c r="A259" t="s">
        <v>33</v>
      </c>
      <c r="B259">
        <v>2014</v>
      </c>
      <c r="C259">
        <v>9</v>
      </c>
      <c r="D259" s="13">
        <f t="shared" ref="D259:D322" si="20">DATE(B259,C259,1)</f>
        <v>41883</v>
      </c>
      <c r="E259">
        <v>122.9</v>
      </c>
      <c r="F259">
        <v>123.5</v>
      </c>
      <c r="G259">
        <v>117.3</v>
      </c>
      <c r="H259">
        <v>122.7</v>
      </c>
      <c r="I259">
        <v>107.9</v>
      </c>
      <c r="J259">
        <v>127.3</v>
      </c>
      <c r="K259">
        <v>162.1</v>
      </c>
      <c r="L259">
        <v>115.6</v>
      </c>
      <c r="M259">
        <v>103.8</v>
      </c>
      <c r="N259">
        <v>117.6</v>
      </c>
      <c r="O259">
        <v>115.8</v>
      </c>
      <c r="P259">
        <v>123.8</v>
      </c>
      <c r="Q259">
        <v>125.8</v>
      </c>
      <c r="R259" s="12">
        <f t="shared" ref="R259:R322" si="21">(Q259-Q258)/Q258</f>
        <v>-7.1033938437253799E-3</v>
      </c>
      <c r="S259">
        <v>120.8</v>
      </c>
      <c r="T259">
        <v>120.7</v>
      </c>
      <c r="U259">
        <v>117.2</v>
      </c>
      <c r="V259">
        <v>120.1</v>
      </c>
      <c r="W259">
        <v>116.1</v>
      </c>
      <c r="X259">
        <v>114.3</v>
      </c>
      <c r="Y259" s="12">
        <f t="shared" ref="Y259:Y322" si="22">(X259-X258)/X258</f>
        <v>2.2361359570661897E-2</v>
      </c>
      <c r="Z259">
        <v>116.1</v>
      </c>
      <c r="AA259">
        <v>113.7</v>
      </c>
      <c r="AB259" s="12">
        <f t="shared" ref="AB259:AB322" si="23">(AA259-AA258)/AA258</f>
        <v>1.2466607301870042E-2</v>
      </c>
      <c r="AC259">
        <v>112</v>
      </c>
      <c r="AD259">
        <v>113.1</v>
      </c>
      <c r="AE259">
        <v>118.6</v>
      </c>
      <c r="AF259">
        <v>109.5</v>
      </c>
      <c r="AG259">
        <v>113.7</v>
      </c>
      <c r="AH259">
        <v>120.1</v>
      </c>
      <c r="AI259" t="str">
        <f t="shared" ref="AI259:AI322" si="24">IF(AND(J259&gt;150,K259&gt;150),"Yes","No")</f>
        <v>No</v>
      </c>
    </row>
    <row r="260" spans="1:35" x14ac:dyDescent="0.25">
      <c r="A260" t="s">
        <v>30</v>
      </c>
      <c r="B260">
        <v>2015</v>
      </c>
      <c r="C260">
        <v>9</v>
      </c>
      <c r="D260" s="13">
        <f t="shared" si="20"/>
        <v>42248</v>
      </c>
      <c r="E260">
        <v>125.1</v>
      </c>
      <c r="F260">
        <v>131.1</v>
      </c>
      <c r="G260">
        <v>120.7</v>
      </c>
      <c r="H260">
        <v>129.19999999999999</v>
      </c>
      <c r="I260">
        <v>114.7</v>
      </c>
      <c r="J260">
        <v>132.30000000000001</v>
      </c>
      <c r="K260">
        <v>158.9</v>
      </c>
      <c r="L260">
        <v>142.1</v>
      </c>
      <c r="M260">
        <v>92.5</v>
      </c>
      <c r="N260">
        <v>125.4</v>
      </c>
      <c r="O260">
        <v>121.9</v>
      </c>
      <c r="P260">
        <v>132.69999999999999</v>
      </c>
      <c r="Q260">
        <v>131</v>
      </c>
      <c r="R260" s="12">
        <f t="shared" si="21"/>
        <v>4.1335453100159007E-2</v>
      </c>
      <c r="S260">
        <v>131</v>
      </c>
      <c r="T260">
        <v>130.4</v>
      </c>
      <c r="U260">
        <v>126.8</v>
      </c>
      <c r="V260">
        <v>129.9</v>
      </c>
      <c r="W260" t="s">
        <v>31</v>
      </c>
      <c r="X260">
        <v>123.7</v>
      </c>
      <c r="Y260" s="12">
        <f t="shared" si="22"/>
        <v>8.2239720034995675E-2</v>
      </c>
      <c r="Z260">
        <v>124.5</v>
      </c>
      <c r="AA260">
        <v>121.4</v>
      </c>
      <c r="AB260" s="12">
        <f t="shared" si="23"/>
        <v>6.7722075637642945E-2</v>
      </c>
      <c r="AC260">
        <v>113.8</v>
      </c>
      <c r="AD260">
        <v>119.6</v>
      </c>
      <c r="AE260">
        <v>124.5</v>
      </c>
      <c r="AF260">
        <v>113.7</v>
      </c>
      <c r="AG260">
        <v>118.8</v>
      </c>
      <c r="AH260">
        <v>127</v>
      </c>
      <c r="AI260" t="str">
        <f t="shared" si="24"/>
        <v>No</v>
      </c>
    </row>
    <row r="261" spans="1:35" x14ac:dyDescent="0.25">
      <c r="A261" t="s">
        <v>32</v>
      </c>
      <c r="B261">
        <v>2015</v>
      </c>
      <c r="C261">
        <v>9</v>
      </c>
      <c r="D261" s="13">
        <f t="shared" si="20"/>
        <v>42248</v>
      </c>
      <c r="E261">
        <v>123.4</v>
      </c>
      <c r="F261">
        <v>129</v>
      </c>
      <c r="G261">
        <v>115.6</v>
      </c>
      <c r="H261">
        <v>128.30000000000001</v>
      </c>
      <c r="I261">
        <v>107</v>
      </c>
      <c r="J261">
        <v>124</v>
      </c>
      <c r="K261">
        <v>168.5</v>
      </c>
      <c r="L261">
        <v>165.4</v>
      </c>
      <c r="M261">
        <v>86.3</v>
      </c>
      <c r="N261">
        <v>134.4</v>
      </c>
      <c r="O261">
        <v>119.1</v>
      </c>
      <c r="P261">
        <v>132.30000000000001</v>
      </c>
      <c r="Q261">
        <v>131.5</v>
      </c>
      <c r="R261" s="12">
        <f t="shared" si="21"/>
        <v>3.8167938931297708E-3</v>
      </c>
      <c r="S261">
        <v>134.69999999999999</v>
      </c>
      <c r="T261">
        <v>124</v>
      </c>
      <c r="U261">
        <v>118.6</v>
      </c>
      <c r="V261">
        <v>123.2</v>
      </c>
      <c r="W261">
        <v>121.6</v>
      </c>
      <c r="X261">
        <v>115.1</v>
      </c>
      <c r="Y261" s="12">
        <f t="shared" si="22"/>
        <v>-6.9523039611964502E-2</v>
      </c>
      <c r="Z261">
        <v>120.4</v>
      </c>
      <c r="AA261">
        <v>117.1</v>
      </c>
      <c r="AB261" s="12">
        <f t="shared" si="23"/>
        <v>-3.5420098846787575E-2</v>
      </c>
      <c r="AC261">
        <v>109.1</v>
      </c>
      <c r="AD261">
        <v>117.3</v>
      </c>
      <c r="AE261">
        <v>126.5</v>
      </c>
      <c r="AF261">
        <v>112.9</v>
      </c>
      <c r="AG261">
        <v>116.2</v>
      </c>
      <c r="AH261">
        <v>123.5</v>
      </c>
      <c r="AI261" t="str">
        <f t="shared" si="24"/>
        <v>No</v>
      </c>
    </row>
    <row r="262" spans="1:35" x14ac:dyDescent="0.25">
      <c r="A262" t="s">
        <v>33</v>
      </c>
      <c r="B262">
        <v>2015</v>
      </c>
      <c r="C262">
        <v>9</v>
      </c>
      <c r="D262" s="13">
        <f t="shared" si="20"/>
        <v>42248</v>
      </c>
      <c r="E262">
        <v>124.6</v>
      </c>
      <c r="F262">
        <v>130.4</v>
      </c>
      <c r="G262">
        <v>118.7</v>
      </c>
      <c r="H262">
        <v>128.9</v>
      </c>
      <c r="I262">
        <v>111.9</v>
      </c>
      <c r="J262">
        <v>128.4</v>
      </c>
      <c r="K262">
        <v>162.19999999999999</v>
      </c>
      <c r="L262">
        <v>150</v>
      </c>
      <c r="M262">
        <v>90.4</v>
      </c>
      <c r="N262">
        <v>128.4</v>
      </c>
      <c r="O262">
        <v>120.7</v>
      </c>
      <c r="P262">
        <v>132.5</v>
      </c>
      <c r="Q262">
        <v>131.19999999999999</v>
      </c>
      <c r="R262" s="12">
        <f t="shared" si="21"/>
        <v>-2.281368821292862E-3</v>
      </c>
      <c r="S262">
        <v>132</v>
      </c>
      <c r="T262">
        <v>127.9</v>
      </c>
      <c r="U262">
        <v>123.4</v>
      </c>
      <c r="V262">
        <v>127.2</v>
      </c>
      <c r="W262">
        <v>121.6</v>
      </c>
      <c r="X262">
        <v>120.4</v>
      </c>
      <c r="Y262" s="12">
        <f t="shared" si="22"/>
        <v>4.6046915725456224E-2</v>
      </c>
      <c r="Z262">
        <v>122.6</v>
      </c>
      <c r="AA262">
        <v>119.8</v>
      </c>
      <c r="AB262" s="12">
        <f t="shared" si="23"/>
        <v>2.3057216054654169E-2</v>
      </c>
      <c r="AC262">
        <v>111.3</v>
      </c>
      <c r="AD262">
        <v>118.3</v>
      </c>
      <c r="AE262">
        <v>125.7</v>
      </c>
      <c r="AF262">
        <v>113.4</v>
      </c>
      <c r="AG262">
        <v>117.5</v>
      </c>
      <c r="AH262">
        <v>125.4</v>
      </c>
      <c r="AI262" t="str">
        <f t="shared" si="24"/>
        <v>No</v>
      </c>
    </row>
    <row r="263" spans="1:35" x14ac:dyDescent="0.25">
      <c r="A263" t="s">
        <v>30</v>
      </c>
      <c r="B263">
        <v>2016</v>
      </c>
      <c r="C263">
        <v>9</v>
      </c>
      <c r="D263" s="13">
        <f t="shared" si="20"/>
        <v>42614</v>
      </c>
      <c r="E263">
        <v>130.80000000000001</v>
      </c>
      <c r="F263">
        <v>138.19999999999999</v>
      </c>
      <c r="G263">
        <v>130.5</v>
      </c>
      <c r="H263">
        <v>135.5</v>
      </c>
      <c r="I263">
        <v>120.2</v>
      </c>
      <c r="J263">
        <v>139.19999999999999</v>
      </c>
      <c r="K263">
        <v>149.5</v>
      </c>
      <c r="L263">
        <v>170.4</v>
      </c>
      <c r="M263">
        <v>113.1</v>
      </c>
      <c r="N263">
        <v>135.80000000000001</v>
      </c>
      <c r="O263">
        <v>128.80000000000001</v>
      </c>
      <c r="P263">
        <v>141.5</v>
      </c>
      <c r="Q263">
        <v>137.19999999999999</v>
      </c>
      <c r="R263" s="12">
        <f t="shared" si="21"/>
        <v>4.5731707317073177E-2</v>
      </c>
      <c r="S263">
        <v>139.9</v>
      </c>
      <c r="T263">
        <v>138.5</v>
      </c>
      <c r="U263">
        <v>133.5</v>
      </c>
      <c r="V263">
        <v>137.80000000000001</v>
      </c>
      <c r="W263" t="s">
        <v>31</v>
      </c>
      <c r="X263">
        <v>129.69999999999999</v>
      </c>
      <c r="Y263" s="12">
        <f t="shared" si="22"/>
        <v>7.7242524916943375E-2</v>
      </c>
      <c r="Z263">
        <v>131.1</v>
      </c>
      <c r="AA263">
        <v>127.8</v>
      </c>
      <c r="AB263" s="12">
        <f t="shared" si="23"/>
        <v>6.6777963272120197E-2</v>
      </c>
      <c r="AC263">
        <v>117</v>
      </c>
      <c r="AD263">
        <v>125.7</v>
      </c>
      <c r="AE263">
        <v>132.19999999999999</v>
      </c>
      <c r="AF263">
        <v>122.8</v>
      </c>
      <c r="AG263">
        <v>124.9</v>
      </c>
      <c r="AH263">
        <v>133.4</v>
      </c>
      <c r="AI263" t="str">
        <f t="shared" si="24"/>
        <v>No</v>
      </c>
    </row>
    <row r="264" spans="1:35" x14ac:dyDescent="0.25">
      <c r="A264" t="s">
        <v>32</v>
      </c>
      <c r="B264">
        <v>2016</v>
      </c>
      <c r="C264">
        <v>9</v>
      </c>
      <c r="D264" s="13">
        <f t="shared" si="20"/>
        <v>42614</v>
      </c>
      <c r="E264">
        <v>128.1</v>
      </c>
      <c r="F264">
        <v>137.69999999999999</v>
      </c>
      <c r="G264">
        <v>130.6</v>
      </c>
      <c r="H264">
        <v>132.6</v>
      </c>
      <c r="I264">
        <v>111.9</v>
      </c>
      <c r="J264">
        <v>132.5</v>
      </c>
      <c r="K264">
        <v>152.9</v>
      </c>
      <c r="L264">
        <v>173.6</v>
      </c>
      <c r="M264">
        <v>115.1</v>
      </c>
      <c r="N264">
        <v>144.80000000000001</v>
      </c>
      <c r="O264">
        <v>122.1</v>
      </c>
      <c r="P264">
        <v>138.80000000000001</v>
      </c>
      <c r="Q264">
        <v>135.69999999999999</v>
      </c>
      <c r="R264" s="12">
        <f t="shared" si="21"/>
        <v>-1.0932944606413995E-2</v>
      </c>
      <c r="S264">
        <v>143.9</v>
      </c>
      <c r="T264">
        <v>128.69999999999999</v>
      </c>
      <c r="U264">
        <v>121.6</v>
      </c>
      <c r="V264">
        <v>127.7</v>
      </c>
      <c r="W264">
        <v>127.9</v>
      </c>
      <c r="X264">
        <v>114.8</v>
      </c>
      <c r="Y264" s="12">
        <f t="shared" si="22"/>
        <v>-0.11488049344641475</v>
      </c>
      <c r="Z264">
        <v>124.3</v>
      </c>
      <c r="AA264">
        <v>121.4</v>
      </c>
      <c r="AB264" s="12">
        <f t="shared" si="23"/>
        <v>-5.0078247261345785E-2</v>
      </c>
      <c r="AC264">
        <v>111.8</v>
      </c>
      <c r="AD264">
        <v>120.8</v>
      </c>
      <c r="AE264">
        <v>131.6</v>
      </c>
      <c r="AF264">
        <v>121.2</v>
      </c>
      <c r="AG264">
        <v>120.5</v>
      </c>
      <c r="AH264">
        <v>128</v>
      </c>
      <c r="AI264" t="str">
        <f t="shared" si="24"/>
        <v>No</v>
      </c>
    </row>
    <row r="265" spans="1:35" x14ac:dyDescent="0.25">
      <c r="A265" t="s">
        <v>33</v>
      </c>
      <c r="B265">
        <v>2016</v>
      </c>
      <c r="C265">
        <v>9</v>
      </c>
      <c r="D265" s="13">
        <f t="shared" si="20"/>
        <v>42614</v>
      </c>
      <c r="E265">
        <v>129.9</v>
      </c>
      <c r="F265">
        <v>138</v>
      </c>
      <c r="G265">
        <v>130.5</v>
      </c>
      <c r="H265">
        <v>134.4</v>
      </c>
      <c r="I265">
        <v>117.2</v>
      </c>
      <c r="J265">
        <v>136.1</v>
      </c>
      <c r="K265">
        <v>150.69999999999999</v>
      </c>
      <c r="L265">
        <v>171.5</v>
      </c>
      <c r="M265">
        <v>113.8</v>
      </c>
      <c r="N265">
        <v>138.80000000000001</v>
      </c>
      <c r="O265">
        <v>126</v>
      </c>
      <c r="P265">
        <v>140.19999999999999</v>
      </c>
      <c r="Q265">
        <v>136.6</v>
      </c>
      <c r="R265" s="12">
        <f t="shared" si="21"/>
        <v>6.6322770817981262E-3</v>
      </c>
      <c r="S265">
        <v>141</v>
      </c>
      <c r="T265">
        <v>134.6</v>
      </c>
      <c r="U265">
        <v>128.6</v>
      </c>
      <c r="V265">
        <v>133.80000000000001</v>
      </c>
      <c r="W265">
        <v>127.9</v>
      </c>
      <c r="X265">
        <v>124.1</v>
      </c>
      <c r="Y265" s="12">
        <f t="shared" si="22"/>
        <v>8.1010452961672447E-2</v>
      </c>
      <c r="Z265">
        <v>127.9</v>
      </c>
      <c r="AA265">
        <v>125.4</v>
      </c>
      <c r="AB265" s="12">
        <f t="shared" si="23"/>
        <v>3.2948929159802305E-2</v>
      </c>
      <c r="AC265">
        <v>114.3</v>
      </c>
      <c r="AD265">
        <v>122.9</v>
      </c>
      <c r="AE265">
        <v>131.80000000000001</v>
      </c>
      <c r="AF265">
        <v>122.1</v>
      </c>
      <c r="AG265">
        <v>122.8</v>
      </c>
      <c r="AH265">
        <v>130.9</v>
      </c>
      <c r="AI265" t="str">
        <f t="shared" si="24"/>
        <v>No</v>
      </c>
    </row>
    <row r="266" spans="1:35" x14ac:dyDescent="0.25">
      <c r="A266" t="s">
        <v>30</v>
      </c>
      <c r="B266">
        <v>2017</v>
      </c>
      <c r="C266">
        <v>9</v>
      </c>
      <c r="D266" s="13">
        <f t="shared" si="20"/>
        <v>42979</v>
      </c>
      <c r="E266">
        <v>135.19999999999999</v>
      </c>
      <c r="F266">
        <v>142</v>
      </c>
      <c r="G266">
        <v>130.5</v>
      </c>
      <c r="H266">
        <v>140.19999999999999</v>
      </c>
      <c r="I266">
        <v>120.7</v>
      </c>
      <c r="J266">
        <v>147.80000000000001</v>
      </c>
      <c r="K266">
        <v>154.5</v>
      </c>
      <c r="L266">
        <v>137.1</v>
      </c>
      <c r="M266">
        <v>121</v>
      </c>
      <c r="N266">
        <v>134.69999999999999</v>
      </c>
      <c r="O266">
        <v>131.69999999999999</v>
      </c>
      <c r="P266">
        <v>149.30000000000001</v>
      </c>
      <c r="Q266">
        <v>139.6</v>
      </c>
      <c r="R266" s="12">
        <f t="shared" si="21"/>
        <v>2.1961932650073207E-2</v>
      </c>
      <c r="S266">
        <v>149.80000000000001</v>
      </c>
      <c r="T266">
        <v>146.1</v>
      </c>
      <c r="U266">
        <v>139.69999999999999</v>
      </c>
      <c r="V266">
        <v>145.19999999999999</v>
      </c>
      <c r="W266" t="s">
        <v>31</v>
      </c>
      <c r="X266">
        <v>137.4</v>
      </c>
      <c r="Y266" s="12">
        <f t="shared" si="22"/>
        <v>0.10717163577759881</v>
      </c>
      <c r="Z266">
        <v>137.9</v>
      </c>
      <c r="AA266">
        <v>133.4</v>
      </c>
      <c r="AB266" s="12">
        <f t="shared" si="23"/>
        <v>6.3795853269537475E-2</v>
      </c>
      <c r="AC266">
        <v>121.2</v>
      </c>
      <c r="AD266">
        <v>132.30000000000001</v>
      </c>
      <c r="AE266">
        <v>139.6</v>
      </c>
      <c r="AF266">
        <v>126.7</v>
      </c>
      <c r="AG266">
        <v>130.30000000000001</v>
      </c>
      <c r="AH266">
        <v>137.6</v>
      </c>
      <c r="AI266" t="str">
        <f t="shared" si="24"/>
        <v>No</v>
      </c>
    </row>
    <row r="267" spans="1:35" x14ac:dyDescent="0.25">
      <c r="A267" t="s">
        <v>32</v>
      </c>
      <c r="B267">
        <v>2017</v>
      </c>
      <c r="C267">
        <v>9</v>
      </c>
      <c r="D267" s="13">
        <f t="shared" si="20"/>
        <v>42979</v>
      </c>
      <c r="E267">
        <v>133.6</v>
      </c>
      <c r="F267">
        <v>143</v>
      </c>
      <c r="G267">
        <v>129.69999999999999</v>
      </c>
      <c r="H267">
        <v>138.69999999999999</v>
      </c>
      <c r="I267">
        <v>114.5</v>
      </c>
      <c r="J267">
        <v>137.5</v>
      </c>
      <c r="K267">
        <v>160.69999999999999</v>
      </c>
      <c r="L267">
        <v>124.5</v>
      </c>
      <c r="M267">
        <v>122.4</v>
      </c>
      <c r="N267">
        <v>137.30000000000001</v>
      </c>
      <c r="O267">
        <v>124.8</v>
      </c>
      <c r="P267">
        <v>145</v>
      </c>
      <c r="Q267">
        <v>138</v>
      </c>
      <c r="R267" s="12">
        <f t="shared" si="21"/>
        <v>-1.1461318051575891E-2</v>
      </c>
      <c r="S267">
        <v>153.6</v>
      </c>
      <c r="T267">
        <v>133.30000000000001</v>
      </c>
      <c r="U267">
        <v>124.6</v>
      </c>
      <c r="V267">
        <v>132</v>
      </c>
      <c r="W267">
        <v>135.69999999999999</v>
      </c>
      <c r="X267">
        <v>120.6</v>
      </c>
      <c r="Y267" s="12">
        <f t="shared" si="22"/>
        <v>-0.12227074235807868</v>
      </c>
      <c r="Z267">
        <v>128.1</v>
      </c>
      <c r="AA267">
        <v>126.1</v>
      </c>
      <c r="AB267" s="12">
        <f t="shared" si="23"/>
        <v>-5.4722638680659755E-2</v>
      </c>
      <c r="AC267">
        <v>115.7</v>
      </c>
      <c r="AD267">
        <v>124.5</v>
      </c>
      <c r="AE267">
        <v>135.9</v>
      </c>
      <c r="AF267">
        <v>124.4</v>
      </c>
      <c r="AG267">
        <v>124.5</v>
      </c>
      <c r="AH267">
        <v>132.4</v>
      </c>
      <c r="AI267" t="str">
        <f t="shared" si="24"/>
        <v>No</v>
      </c>
    </row>
    <row r="268" spans="1:35" x14ac:dyDescent="0.25">
      <c r="A268" t="s">
        <v>33</v>
      </c>
      <c r="B268">
        <v>2017</v>
      </c>
      <c r="C268">
        <v>9</v>
      </c>
      <c r="D268" s="13">
        <f t="shared" si="20"/>
        <v>42979</v>
      </c>
      <c r="E268">
        <v>134.69999999999999</v>
      </c>
      <c r="F268">
        <v>142.4</v>
      </c>
      <c r="G268">
        <v>130.19999999999999</v>
      </c>
      <c r="H268">
        <v>139.6</v>
      </c>
      <c r="I268">
        <v>118.4</v>
      </c>
      <c r="J268">
        <v>143</v>
      </c>
      <c r="K268">
        <v>156.6</v>
      </c>
      <c r="L268">
        <v>132.9</v>
      </c>
      <c r="M268">
        <v>121.5</v>
      </c>
      <c r="N268">
        <v>135.6</v>
      </c>
      <c r="O268">
        <v>128.80000000000001</v>
      </c>
      <c r="P268">
        <v>147.30000000000001</v>
      </c>
      <c r="Q268">
        <v>139</v>
      </c>
      <c r="R268" s="12">
        <f t="shared" si="21"/>
        <v>7.246376811594203E-3</v>
      </c>
      <c r="S268">
        <v>150.80000000000001</v>
      </c>
      <c r="T268">
        <v>141.1</v>
      </c>
      <c r="U268">
        <v>133.4</v>
      </c>
      <c r="V268">
        <v>140</v>
      </c>
      <c r="W268">
        <v>135.69999999999999</v>
      </c>
      <c r="X268">
        <v>131</v>
      </c>
      <c r="Y268" s="12">
        <f t="shared" si="22"/>
        <v>8.6235489220563899E-2</v>
      </c>
      <c r="Z268">
        <v>133.30000000000001</v>
      </c>
      <c r="AA268">
        <v>130.6</v>
      </c>
      <c r="AB268" s="12">
        <f t="shared" si="23"/>
        <v>3.5685963521015072E-2</v>
      </c>
      <c r="AC268">
        <v>118.3</v>
      </c>
      <c r="AD268">
        <v>127.9</v>
      </c>
      <c r="AE268">
        <v>137.4</v>
      </c>
      <c r="AF268">
        <v>125.7</v>
      </c>
      <c r="AG268">
        <v>127.5</v>
      </c>
      <c r="AH268">
        <v>135.19999999999999</v>
      </c>
      <c r="AI268" t="str">
        <f t="shared" si="24"/>
        <v>No</v>
      </c>
    </row>
    <row r="269" spans="1:35" x14ac:dyDescent="0.25">
      <c r="A269" t="s">
        <v>30</v>
      </c>
      <c r="B269">
        <v>2018</v>
      </c>
      <c r="C269">
        <v>9</v>
      </c>
      <c r="D269" s="13">
        <f t="shared" si="20"/>
        <v>43344</v>
      </c>
      <c r="E269">
        <v>139.4</v>
      </c>
      <c r="F269">
        <v>147.19999999999999</v>
      </c>
      <c r="G269">
        <v>136.6</v>
      </c>
      <c r="H269">
        <v>143.69999999999999</v>
      </c>
      <c r="I269">
        <v>124.6</v>
      </c>
      <c r="J269">
        <v>150.1</v>
      </c>
      <c r="K269">
        <v>149.4</v>
      </c>
      <c r="L269">
        <v>125.4</v>
      </c>
      <c r="M269">
        <v>114.4</v>
      </c>
      <c r="N269">
        <v>138.69999999999999</v>
      </c>
      <c r="O269">
        <v>133.1</v>
      </c>
      <c r="P269">
        <v>155.9</v>
      </c>
      <c r="Q269">
        <v>141.30000000000001</v>
      </c>
      <c r="R269" s="12">
        <f t="shared" si="21"/>
        <v>1.6546762589928141E-2</v>
      </c>
      <c r="S269">
        <v>157.69999999999999</v>
      </c>
      <c r="T269">
        <v>152.1</v>
      </c>
      <c r="U269">
        <v>146.1</v>
      </c>
      <c r="V269">
        <v>151.30000000000001</v>
      </c>
      <c r="W269" t="s">
        <v>31</v>
      </c>
      <c r="X269">
        <v>149</v>
      </c>
      <c r="Y269" s="12">
        <f t="shared" si="22"/>
        <v>0.13740458015267176</v>
      </c>
      <c r="Z269">
        <v>144</v>
      </c>
      <c r="AA269">
        <v>140</v>
      </c>
      <c r="AB269" s="12">
        <f t="shared" si="23"/>
        <v>7.1975497702909688E-2</v>
      </c>
      <c r="AC269">
        <v>129.9</v>
      </c>
      <c r="AD269">
        <v>140</v>
      </c>
      <c r="AE269">
        <v>147.6</v>
      </c>
      <c r="AF269">
        <v>132</v>
      </c>
      <c r="AG269">
        <v>137.4</v>
      </c>
      <c r="AH269">
        <v>142.1</v>
      </c>
      <c r="AI269" t="str">
        <f t="shared" si="24"/>
        <v>No</v>
      </c>
    </row>
    <row r="270" spans="1:35" x14ac:dyDescent="0.25">
      <c r="A270" t="s">
        <v>32</v>
      </c>
      <c r="B270">
        <v>2018</v>
      </c>
      <c r="C270">
        <v>9</v>
      </c>
      <c r="D270" s="13">
        <f t="shared" si="20"/>
        <v>43344</v>
      </c>
      <c r="E270">
        <v>137</v>
      </c>
      <c r="F270">
        <v>143.1</v>
      </c>
      <c r="G270">
        <v>132.80000000000001</v>
      </c>
      <c r="H270">
        <v>141.5</v>
      </c>
      <c r="I270">
        <v>117.8</v>
      </c>
      <c r="J270">
        <v>140</v>
      </c>
      <c r="K270">
        <v>151.30000000000001</v>
      </c>
      <c r="L270">
        <v>113.5</v>
      </c>
      <c r="M270">
        <v>112.3</v>
      </c>
      <c r="N270">
        <v>141.19999999999999</v>
      </c>
      <c r="O270">
        <v>127.7</v>
      </c>
      <c r="P270">
        <v>151.30000000000001</v>
      </c>
      <c r="Q270">
        <v>138.9</v>
      </c>
      <c r="R270" s="12">
        <f t="shared" si="21"/>
        <v>-1.6985138004246322E-2</v>
      </c>
      <c r="S270">
        <v>163.30000000000001</v>
      </c>
      <c r="T270">
        <v>140.80000000000001</v>
      </c>
      <c r="U270">
        <v>129.30000000000001</v>
      </c>
      <c r="V270">
        <v>139.1</v>
      </c>
      <c r="W270">
        <v>145.30000000000001</v>
      </c>
      <c r="X270">
        <v>131.19999999999999</v>
      </c>
      <c r="Y270" s="12">
        <f t="shared" si="22"/>
        <v>-0.11946308724832222</v>
      </c>
      <c r="Z270">
        <v>134.9</v>
      </c>
      <c r="AA270">
        <v>135.69999999999999</v>
      </c>
      <c r="AB270" s="12">
        <f t="shared" si="23"/>
        <v>-3.0714285714285795E-2</v>
      </c>
      <c r="AC270">
        <v>122.5</v>
      </c>
      <c r="AD270">
        <v>130.19999999999999</v>
      </c>
      <c r="AE270">
        <v>145.19999999999999</v>
      </c>
      <c r="AF270">
        <v>129.30000000000001</v>
      </c>
      <c r="AG270">
        <v>131.9</v>
      </c>
      <c r="AH270">
        <v>138.1</v>
      </c>
      <c r="AI270" t="str">
        <f t="shared" si="24"/>
        <v>No</v>
      </c>
    </row>
    <row r="271" spans="1:35" x14ac:dyDescent="0.25">
      <c r="A271" t="s">
        <v>33</v>
      </c>
      <c r="B271">
        <v>2018</v>
      </c>
      <c r="C271">
        <v>9</v>
      </c>
      <c r="D271" s="13">
        <f t="shared" si="20"/>
        <v>43344</v>
      </c>
      <c r="E271">
        <v>138.6</v>
      </c>
      <c r="F271">
        <v>145.80000000000001</v>
      </c>
      <c r="G271">
        <v>135.1</v>
      </c>
      <c r="H271">
        <v>142.9</v>
      </c>
      <c r="I271">
        <v>122.1</v>
      </c>
      <c r="J271">
        <v>145.4</v>
      </c>
      <c r="K271">
        <v>150</v>
      </c>
      <c r="L271">
        <v>121.4</v>
      </c>
      <c r="M271">
        <v>113.7</v>
      </c>
      <c r="N271">
        <v>139.5</v>
      </c>
      <c r="O271">
        <v>130.80000000000001</v>
      </c>
      <c r="P271">
        <v>153.80000000000001</v>
      </c>
      <c r="Q271">
        <v>140.4</v>
      </c>
      <c r="R271" s="12">
        <f t="shared" si="21"/>
        <v>1.079913606911447E-2</v>
      </c>
      <c r="S271">
        <v>159.19999999999999</v>
      </c>
      <c r="T271">
        <v>147.69999999999999</v>
      </c>
      <c r="U271">
        <v>139.1</v>
      </c>
      <c r="V271">
        <v>146.5</v>
      </c>
      <c r="W271">
        <v>145.30000000000001</v>
      </c>
      <c r="X271">
        <v>142.30000000000001</v>
      </c>
      <c r="Y271" s="12">
        <f t="shared" si="22"/>
        <v>8.4603658536585552E-2</v>
      </c>
      <c r="Z271">
        <v>139.69999999999999</v>
      </c>
      <c r="AA271">
        <v>138.4</v>
      </c>
      <c r="AB271" s="12">
        <f t="shared" si="23"/>
        <v>1.9896831245394379E-2</v>
      </c>
      <c r="AC271">
        <v>126</v>
      </c>
      <c r="AD271">
        <v>134.5</v>
      </c>
      <c r="AE271">
        <v>146.19999999999999</v>
      </c>
      <c r="AF271">
        <v>130.9</v>
      </c>
      <c r="AG271">
        <v>134.69999999999999</v>
      </c>
      <c r="AH271">
        <v>140.19999999999999</v>
      </c>
      <c r="AI271" t="str">
        <f t="shared" si="24"/>
        <v>No</v>
      </c>
    </row>
    <row r="272" spans="1:35" x14ac:dyDescent="0.25">
      <c r="A272" t="s">
        <v>30</v>
      </c>
      <c r="B272">
        <v>2019</v>
      </c>
      <c r="C272">
        <v>9</v>
      </c>
      <c r="D272" s="13">
        <f t="shared" si="20"/>
        <v>43709</v>
      </c>
      <c r="E272">
        <v>140.1</v>
      </c>
      <c r="F272">
        <v>161.9</v>
      </c>
      <c r="G272">
        <v>138.30000000000001</v>
      </c>
      <c r="H272">
        <v>145.69999999999999</v>
      </c>
      <c r="I272">
        <v>125.1</v>
      </c>
      <c r="J272">
        <v>143.80000000000001</v>
      </c>
      <c r="K272">
        <v>163.4</v>
      </c>
      <c r="L272">
        <v>132.19999999999999</v>
      </c>
      <c r="M272">
        <v>112.8</v>
      </c>
      <c r="N272">
        <v>144.19999999999999</v>
      </c>
      <c r="O272">
        <v>138.5</v>
      </c>
      <c r="P272">
        <v>157.19999999999999</v>
      </c>
      <c r="Q272">
        <v>145.5</v>
      </c>
      <c r="R272" s="12">
        <f t="shared" si="21"/>
        <v>3.6324786324786286E-2</v>
      </c>
      <c r="S272">
        <v>165.7</v>
      </c>
      <c r="T272">
        <v>151.69999999999999</v>
      </c>
      <c r="U272">
        <v>146.6</v>
      </c>
      <c r="V272">
        <v>151</v>
      </c>
      <c r="W272" t="s">
        <v>31</v>
      </c>
      <c r="X272">
        <v>146.9</v>
      </c>
      <c r="Y272" s="12">
        <f t="shared" si="22"/>
        <v>3.2326071679550206E-2</v>
      </c>
      <c r="Z272">
        <v>150.30000000000001</v>
      </c>
      <c r="AA272">
        <v>153.4</v>
      </c>
      <c r="AB272" s="12">
        <f t="shared" si="23"/>
        <v>0.10838150289017341</v>
      </c>
      <c r="AC272">
        <v>131.6</v>
      </c>
      <c r="AD272">
        <v>148.30000000000001</v>
      </c>
      <c r="AE272">
        <v>160.19999999999999</v>
      </c>
      <c r="AF272">
        <v>140.19999999999999</v>
      </c>
      <c r="AG272">
        <v>145.4</v>
      </c>
      <c r="AH272">
        <v>146.69999999999999</v>
      </c>
      <c r="AI272" t="str">
        <f t="shared" si="24"/>
        <v>No</v>
      </c>
    </row>
    <row r="273" spans="1:35" x14ac:dyDescent="0.25">
      <c r="A273" t="s">
        <v>32</v>
      </c>
      <c r="B273">
        <v>2019</v>
      </c>
      <c r="C273">
        <v>9</v>
      </c>
      <c r="D273" s="13">
        <f t="shared" si="20"/>
        <v>43709</v>
      </c>
      <c r="E273">
        <v>142.69999999999999</v>
      </c>
      <c r="F273">
        <v>158.69999999999999</v>
      </c>
      <c r="G273">
        <v>141.6</v>
      </c>
      <c r="H273">
        <v>144.9</v>
      </c>
      <c r="I273">
        <v>120.8</v>
      </c>
      <c r="J273">
        <v>149.80000000000001</v>
      </c>
      <c r="K273">
        <v>192.4</v>
      </c>
      <c r="L273">
        <v>130.30000000000001</v>
      </c>
      <c r="M273">
        <v>114</v>
      </c>
      <c r="N273">
        <v>143.80000000000001</v>
      </c>
      <c r="O273">
        <v>130</v>
      </c>
      <c r="P273">
        <v>156.4</v>
      </c>
      <c r="Q273">
        <v>149.5</v>
      </c>
      <c r="R273" s="12">
        <f t="shared" si="21"/>
        <v>2.7491408934707903E-2</v>
      </c>
      <c r="S273">
        <v>168.6</v>
      </c>
      <c r="T273">
        <v>145.30000000000001</v>
      </c>
      <c r="U273">
        <v>132.19999999999999</v>
      </c>
      <c r="V273">
        <v>143.30000000000001</v>
      </c>
      <c r="W273">
        <v>152.19999999999999</v>
      </c>
      <c r="X273">
        <v>126.6</v>
      </c>
      <c r="Y273" s="12">
        <f t="shared" si="22"/>
        <v>-0.13818924438393473</v>
      </c>
      <c r="Z273">
        <v>138.30000000000001</v>
      </c>
      <c r="AA273">
        <v>141.9</v>
      </c>
      <c r="AB273" s="12">
        <f t="shared" si="23"/>
        <v>-7.4967405475880045E-2</v>
      </c>
      <c r="AC273">
        <v>121.2</v>
      </c>
      <c r="AD273">
        <v>135.9</v>
      </c>
      <c r="AE273">
        <v>151.6</v>
      </c>
      <c r="AF273">
        <v>139</v>
      </c>
      <c r="AG273">
        <v>135.69999999999999</v>
      </c>
      <c r="AH273">
        <v>144.69999999999999</v>
      </c>
      <c r="AI273" t="str">
        <f t="shared" si="24"/>
        <v>No</v>
      </c>
    </row>
    <row r="274" spans="1:35" x14ac:dyDescent="0.25">
      <c r="A274" t="s">
        <v>33</v>
      </c>
      <c r="B274">
        <v>2019</v>
      </c>
      <c r="C274">
        <v>9</v>
      </c>
      <c r="D274" s="13">
        <f t="shared" si="20"/>
        <v>43709</v>
      </c>
      <c r="E274">
        <v>140.9</v>
      </c>
      <c r="F274">
        <v>160.80000000000001</v>
      </c>
      <c r="G274">
        <v>139.6</v>
      </c>
      <c r="H274">
        <v>145.4</v>
      </c>
      <c r="I274">
        <v>123.5</v>
      </c>
      <c r="J274">
        <v>146.6</v>
      </c>
      <c r="K274">
        <v>173.2</v>
      </c>
      <c r="L274">
        <v>131.6</v>
      </c>
      <c r="M274">
        <v>113.2</v>
      </c>
      <c r="N274">
        <v>144.1</v>
      </c>
      <c r="O274">
        <v>135</v>
      </c>
      <c r="P274">
        <v>156.80000000000001</v>
      </c>
      <c r="Q274">
        <v>147</v>
      </c>
      <c r="R274" s="12">
        <f t="shared" si="21"/>
        <v>-1.6722408026755852E-2</v>
      </c>
      <c r="S274">
        <v>166.5</v>
      </c>
      <c r="T274">
        <v>149.19999999999999</v>
      </c>
      <c r="U274">
        <v>140.6</v>
      </c>
      <c r="V274">
        <v>147.9</v>
      </c>
      <c r="W274">
        <v>152.19999999999999</v>
      </c>
      <c r="X274">
        <v>139.19999999999999</v>
      </c>
      <c r="Y274" s="12">
        <f t="shared" si="22"/>
        <v>9.9526066350710859E-2</v>
      </c>
      <c r="Z274">
        <v>144.6</v>
      </c>
      <c r="AA274">
        <v>149</v>
      </c>
      <c r="AB274" s="12">
        <f t="shared" si="23"/>
        <v>5.0035236081747668E-2</v>
      </c>
      <c r="AC274">
        <v>126.1</v>
      </c>
      <c r="AD274">
        <v>141.30000000000001</v>
      </c>
      <c r="AE274">
        <v>155.19999999999999</v>
      </c>
      <c r="AF274">
        <v>139.69999999999999</v>
      </c>
      <c r="AG274">
        <v>140.69999999999999</v>
      </c>
      <c r="AH274">
        <v>145.80000000000001</v>
      </c>
      <c r="AI274" t="str">
        <f t="shared" si="24"/>
        <v>No</v>
      </c>
    </row>
    <row r="275" spans="1:35" x14ac:dyDescent="0.25">
      <c r="A275" t="s">
        <v>30</v>
      </c>
      <c r="B275">
        <v>2020</v>
      </c>
      <c r="C275">
        <v>9</v>
      </c>
      <c r="D275" s="13">
        <f t="shared" si="20"/>
        <v>44075</v>
      </c>
      <c r="E275">
        <v>146.9</v>
      </c>
      <c r="F275">
        <v>183.9</v>
      </c>
      <c r="G275">
        <v>149.5</v>
      </c>
      <c r="H275">
        <v>153.4</v>
      </c>
      <c r="I275">
        <v>140.4</v>
      </c>
      <c r="J275">
        <v>147</v>
      </c>
      <c r="K275">
        <v>178.8</v>
      </c>
      <c r="L275">
        <v>149.30000000000001</v>
      </c>
      <c r="M275">
        <v>115.1</v>
      </c>
      <c r="N275">
        <v>160</v>
      </c>
      <c r="O275">
        <v>145.4</v>
      </c>
      <c r="P275">
        <v>161.6</v>
      </c>
      <c r="Q275">
        <v>156.1</v>
      </c>
      <c r="R275" s="12">
        <f t="shared" si="21"/>
        <v>6.1904761904761865E-2</v>
      </c>
      <c r="S275">
        <v>182.9</v>
      </c>
      <c r="T275">
        <v>155.4</v>
      </c>
      <c r="U275">
        <v>149.9</v>
      </c>
      <c r="V275">
        <v>154.6</v>
      </c>
      <c r="W275" t="s">
        <v>31</v>
      </c>
      <c r="X275">
        <v>146.4</v>
      </c>
      <c r="Y275" s="12">
        <f t="shared" si="22"/>
        <v>5.1724137931034607E-2</v>
      </c>
      <c r="Z275">
        <v>151.6</v>
      </c>
      <c r="AA275">
        <v>159.1</v>
      </c>
      <c r="AB275" s="12">
        <f t="shared" si="23"/>
        <v>6.778523489932882E-2</v>
      </c>
      <c r="AC275">
        <v>144.6</v>
      </c>
      <c r="AD275">
        <v>152.80000000000001</v>
      </c>
      <c r="AE275">
        <v>161.1</v>
      </c>
      <c r="AF275">
        <v>157.4</v>
      </c>
      <c r="AG275">
        <v>153.69999999999999</v>
      </c>
      <c r="AH275">
        <v>155.4</v>
      </c>
      <c r="AI275" t="str">
        <f t="shared" si="24"/>
        <v>No</v>
      </c>
    </row>
    <row r="276" spans="1:35" x14ac:dyDescent="0.25">
      <c r="A276" t="s">
        <v>32</v>
      </c>
      <c r="B276">
        <v>2020</v>
      </c>
      <c r="C276">
        <v>9</v>
      </c>
      <c r="D276" s="13">
        <f t="shared" si="20"/>
        <v>44075</v>
      </c>
      <c r="E276">
        <v>151.5</v>
      </c>
      <c r="F276">
        <v>193.1</v>
      </c>
      <c r="G276">
        <v>157.30000000000001</v>
      </c>
      <c r="H276">
        <v>153.9</v>
      </c>
      <c r="I276">
        <v>134.4</v>
      </c>
      <c r="J276">
        <v>155.4</v>
      </c>
      <c r="K276">
        <v>202</v>
      </c>
      <c r="L276">
        <v>150.80000000000001</v>
      </c>
      <c r="M276">
        <v>118.9</v>
      </c>
      <c r="N276">
        <v>160.9</v>
      </c>
      <c r="O276">
        <v>137.69999999999999</v>
      </c>
      <c r="P276">
        <v>164.4</v>
      </c>
      <c r="Q276">
        <v>161.30000000000001</v>
      </c>
      <c r="R276" s="12">
        <f t="shared" si="21"/>
        <v>3.3311979500320416E-2</v>
      </c>
      <c r="S276">
        <v>188.7</v>
      </c>
      <c r="T276">
        <v>150.19999999999999</v>
      </c>
      <c r="U276">
        <v>136.30000000000001</v>
      </c>
      <c r="V276">
        <v>148.1</v>
      </c>
      <c r="W276">
        <v>156.30000000000001</v>
      </c>
      <c r="X276">
        <v>137.19999999999999</v>
      </c>
      <c r="Y276" s="12">
        <f t="shared" si="22"/>
        <v>-6.284153005464492E-2</v>
      </c>
      <c r="Z276">
        <v>145.4</v>
      </c>
      <c r="AA276">
        <v>150</v>
      </c>
      <c r="AB276" s="12">
        <f t="shared" si="23"/>
        <v>-5.7196731615336234E-2</v>
      </c>
      <c r="AC276">
        <v>135.1</v>
      </c>
      <c r="AD276">
        <v>141.80000000000001</v>
      </c>
      <c r="AE276">
        <v>154.9</v>
      </c>
      <c r="AF276">
        <v>159.80000000000001</v>
      </c>
      <c r="AG276">
        <v>146</v>
      </c>
      <c r="AH276">
        <v>154</v>
      </c>
      <c r="AI276" t="str">
        <f t="shared" si="24"/>
        <v>Yes</v>
      </c>
    </row>
    <row r="277" spans="1:35" x14ac:dyDescent="0.25">
      <c r="A277" t="s">
        <v>33</v>
      </c>
      <c r="B277">
        <v>2020</v>
      </c>
      <c r="C277">
        <v>9</v>
      </c>
      <c r="D277" s="13">
        <f t="shared" si="20"/>
        <v>44075</v>
      </c>
      <c r="E277">
        <v>148.4</v>
      </c>
      <c r="F277">
        <v>187.1</v>
      </c>
      <c r="G277">
        <v>152.5</v>
      </c>
      <c r="H277">
        <v>153.6</v>
      </c>
      <c r="I277">
        <v>138.19999999999999</v>
      </c>
      <c r="J277">
        <v>150.9</v>
      </c>
      <c r="K277">
        <v>186.7</v>
      </c>
      <c r="L277">
        <v>149.80000000000001</v>
      </c>
      <c r="M277">
        <v>116.4</v>
      </c>
      <c r="N277">
        <v>160.30000000000001</v>
      </c>
      <c r="O277">
        <v>142.19999999999999</v>
      </c>
      <c r="P277">
        <v>162.9</v>
      </c>
      <c r="Q277">
        <v>158</v>
      </c>
      <c r="R277" s="12">
        <f t="shared" si="21"/>
        <v>-2.0458772473651649E-2</v>
      </c>
      <c r="S277">
        <v>184.4</v>
      </c>
      <c r="T277">
        <v>153.4</v>
      </c>
      <c r="U277">
        <v>144.30000000000001</v>
      </c>
      <c r="V277">
        <v>152</v>
      </c>
      <c r="W277">
        <v>156.30000000000001</v>
      </c>
      <c r="X277">
        <v>142.9</v>
      </c>
      <c r="Y277" s="12">
        <f t="shared" si="22"/>
        <v>4.1545189504373303E-2</v>
      </c>
      <c r="Z277">
        <v>148.69999999999999</v>
      </c>
      <c r="AA277">
        <v>155.6</v>
      </c>
      <c r="AB277" s="12">
        <f t="shared" si="23"/>
        <v>3.7333333333333295E-2</v>
      </c>
      <c r="AC277">
        <v>139.6</v>
      </c>
      <c r="AD277">
        <v>146.6</v>
      </c>
      <c r="AE277">
        <v>157.5</v>
      </c>
      <c r="AF277">
        <v>158.4</v>
      </c>
      <c r="AG277">
        <v>150</v>
      </c>
      <c r="AH277">
        <v>154.69999999999999</v>
      </c>
      <c r="AI277" t="str">
        <f t="shared" si="24"/>
        <v>Yes</v>
      </c>
    </row>
    <row r="278" spans="1:35" x14ac:dyDescent="0.25">
      <c r="A278" t="s">
        <v>30</v>
      </c>
      <c r="B278">
        <v>2021</v>
      </c>
      <c r="C278">
        <v>9</v>
      </c>
      <c r="D278" s="13">
        <f t="shared" si="20"/>
        <v>44440</v>
      </c>
      <c r="E278">
        <v>145.4</v>
      </c>
      <c r="F278">
        <v>202.1</v>
      </c>
      <c r="G278">
        <v>172</v>
      </c>
      <c r="H278">
        <v>158</v>
      </c>
      <c r="I278">
        <v>195.5</v>
      </c>
      <c r="J278">
        <v>152.69999999999999</v>
      </c>
      <c r="K278">
        <v>151.4</v>
      </c>
      <c r="L278">
        <v>163.9</v>
      </c>
      <c r="M278">
        <v>119.3</v>
      </c>
      <c r="N278">
        <v>170.1</v>
      </c>
      <c r="O278">
        <v>168.3</v>
      </c>
      <c r="P278">
        <v>172.8</v>
      </c>
      <c r="Q278">
        <v>162.1</v>
      </c>
      <c r="R278" s="12">
        <f t="shared" si="21"/>
        <v>2.594936708860756E-2</v>
      </c>
      <c r="S278">
        <v>190.5</v>
      </c>
      <c r="T278">
        <v>167.7</v>
      </c>
      <c r="U278">
        <v>163.6</v>
      </c>
      <c r="V278">
        <v>167.1</v>
      </c>
      <c r="W278" t="s">
        <v>31</v>
      </c>
      <c r="X278">
        <v>163.69999999999999</v>
      </c>
      <c r="Y278" s="12">
        <f t="shared" si="22"/>
        <v>0.14555633310006985</v>
      </c>
      <c r="Z278">
        <v>161.30000000000001</v>
      </c>
      <c r="AA278">
        <v>171.9</v>
      </c>
      <c r="AB278" s="12">
        <f t="shared" si="23"/>
        <v>0.10475578406169674</v>
      </c>
      <c r="AC278">
        <v>157.80000000000001</v>
      </c>
      <c r="AD278">
        <v>162.69999999999999</v>
      </c>
      <c r="AE278">
        <v>168.5</v>
      </c>
      <c r="AF278">
        <v>160.19999999999999</v>
      </c>
      <c r="AG278">
        <v>163.80000000000001</v>
      </c>
      <c r="AH278">
        <v>164</v>
      </c>
      <c r="AI278" t="str">
        <f t="shared" si="24"/>
        <v>Yes</v>
      </c>
    </row>
    <row r="279" spans="1:35" x14ac:dyDescent="0.25">
      <c r="A279" t="s">
        <v>32</v>
      </c>
      <c r="B279">
        <v>2021</v>
      </c>
      <c r="C279">
        <v>9</v>
      </c>
      <c r="D279" s="13">
        <f t="shared" si="20"/>
        <v>44440</v>
      </c>
      <c r="E279">
        <v>149.30000000000001</v>
      </c>
      <c r="F279">
        <v>207.4</v>
      </c>
      <c r="G279">
        <v>174.1</v>
      </c>
      <c r="H279">
        <v>159.1</v>
      </c>
      <c r="I279">
        <v>175</v>
      </c>
      <c r="J279">
        <v>161.19999999999999</v>
      </c>
      <c r="K279">
        <v>183.5</v>
      </c>
      <c r="L279">
        <v>164.5</v>
      </c>
      <c r="M279">
        <v>120.4</v>
      </c>
      <c r="N279">
        <v>166.2</v>
      </c>
      <c r="O279">
        <v>154.80000000000001</v>
      </c>
      <c r="P279">
        <v>175.1</v>
      </c>
      <c r="Q279">
        <v>167.3</v>
      </c>
      <c r="R279" s="12">
        <f t="shared" si="21"/>
        <v>3.2078963602714478E-2</v>
      </c>
      <c r="S279">
        <v>196.5</v>
      </c>
      <c r="T279">
        <v>159.80000000000001</v>
      </c>
      <c r="U279">
        <v>143.6</v>
      </c>
      <c r="V279">
        <v>157.4</v>
      </c>
      <c r="W279">
        <v>162.1</v>
      </c>
      <c r="X279">
        <v>160.80000000000001</v>
      </c>
      <c r="Y279" s="12">
        <f t="shared" si="22"/>
        <v>-1.7715332926084165E-2</v>
      </c>
      <c r="Z279">
        <v>153.30000000000001</v>
      </c>
      <c r="AA279">
        <v>162.80000000000001</v>
      </c>
      <c r="AB279" s="12">
        <f t="shared" si="23"/>
        <v>-5.2937754508435103E-2</v>
      </c>
      <c r="AC279">
        <v>150.5</v>
      </c>
      <c r="AD279">
        <v>153.9</v>
      </c>
      <c r="AE279">
        <v>160.30000000000001</v>
      </c>
      <c r="AF279">
        <v>159.6</v>
      </c>
      <c r="AG279">
        <v>156</v>
      </c>
      <c r="AH279">
        <v>162.30000000000001</v>
      </c>
      <c r="AI279" t="str">
        <f t="shared" si="24"/>
        <v>Yes</v>
      </c>
    </row>
    <row r="280" spans="1:35" x14ac:dyDescent="0.25">
      <c r="A280" t="s">
        <v>33</v>
      </c>
      <c r="B280">
        <v>2021</v>
      </c>
      <c r="C280">
        <v>9</v>
      </c>
      <c r="D280" s="13">
        <f t="shared" si="20"/>
        <v>44440</v>
      </c>
      <c r="E280">
        <v>146.6</v>
      </c>
      <c r="F280">
        <v>204</v>
      </c>
      <c r="G280">
        <v>172.8</v>
      </c>
      <c r="H280">
        <v>158.4</v>
      </c>
      <c r="I280">
        <v>188</v>
      </c>
      <c r="J280">
        <v>156.69999999999999</v>
      </c>
      <c r="K280">
        <v>162.30000000000001</v>
      </c>
      <c r="L280">
        <v>164.1</v>
      </c>
      <c r="M280">
        <v>119.7</v>
      </c>
      <c r="N280">
        <v>168.8</v>
      </c>
      <c r="O280">
        <v>162.69999999999999</v>
      </c>
      <c r="P280">
        <v>173.9</v>
      </c>
      <c r="Q280">
        <v>164</v>
      </c>
      <c r="R280" s="12">
        <f t="shared" si="21"/>
        <v>-1.9725044829647407E-2</v>
      </c>
      <c r="S280">
        <v>192.1</v>
      </c>
      <c r="T280">
        <v>164.6</v>
      </c>
      <c r="U280">
        <v>155.30000000000001</v>
      </c>
      <c r="V280">
        <v>163.30000000000001</v>
      </c>
      <c r="W280">
        <v>162.1</v>
      </c>
      <c r="X280">
        <v>162.6</v>
      </c>
      <c r="Y280" s="12">
        <f t="shared" si="22"/>
        <v>1.1194029850746162E-2</v>
      </c>
      <c r="Z280">
        <v>157.5</v>
      </c>
      <c r="AA280">
        <v>168.4</v>
      </c>
      <c r="AB280" s="12">
        <f t="shared" si="23"/>
        <v>3.4398034398034363E-2</v>
      </c>
      <c r="AC280">
        <v>154</v>
      </c>
      <c r="AD280">
        <v>157.69999999999999</v>
      </c>
      <c r="AE280">
        <v>163.69999999999999</v>
      </c>
      <c r="AF280">
        <v>160</v>
      </c>
      <c r="AG280">
        <v>160</v>
      </c>
      <c r="AH280">
        <v>163.19999999999999</v>
      </c>
      <c r="AI280" t="str">
        <f t="shared" si="24"/>
        <v>Yes</v>
      </c>
    </row>
    <row r="281" spans="1:35" x14ac:dyDescent="0.25">
      <c r="A281" t="s">
        <v>30</v>
      </c>
      <c r="B281">
        <v>2022</v>
      </c>
      <c r="C281">
        <v>9</v>
      </c>
      <c r="D281" s="13">
        <f t="shared" si="20"/>
        <v>44805</v>
      </c>
      <c r="E281">
        <v>162.9</v>
      </c>
      <c r="F281">
        <v>206.7</v>
      </c>
      <c r="G281">
        <v>169</v>
      </c>
      <c r="H281">
        <v>169.5</v>
      </c>
      <c r="I281">
        <v>194.1</v>
      </c>
      <c r="J281">
        <v>164.1</v>
      </c>
      <c r="K281">
        <v>176.9</v>
      </c>
      <c r="L281">
        <v>169</v>
      </c>
      <c r="M281">
        <v>120.8</v>
      </c>
      <c r="N281">
        <v>199.1</v>
      </c>
      <c r="O281">
        <v>175.4</v>
      </c>
      <c r="P281">
        <v>184.8</v>
      </c>
      <c r="Q281">
        <v>175.5</v>
      </c>
      <c r="R281" s="12">
        <f t="shared" si="21"/>
        <v>7.0121951219512202E-2</v>
      </c>
      <c r="S281">
        <v>194.5</v>
      </c>
      <c r="T281">
        <v>184.7</v>
      </c>
      <c r="U281">
        <v>183.3</v>
      </c>
      <c r="V281">
        <v>184.5</v>
      </c>
      <c r="W281" t="s">
        <v>31</v>
      </c>
      <c r="X281">
        <v>179.7</v>
      </c>
      <c r="Y281" s="12">
        <f t="shared" si="22"/>
        <v>0.10516605166051657</v>
      </c>
      <c r="Z281">
        <v>173.6</v>
      </c>
      <c r="AA281">
        <v>180.2</v>
      </c>
      <c r="AB281" s="12">
        <f t="shared" si="23"/>
        <v>7.0071258907363321E-2</v>
      </c>
      <c r="AC281">
        <v>166.9</v>
      </c>
      <c r="AD281">
        <v>170</v>
      </c>
      <c r="AE281">
        <v>176.2</v>
      </c>
      <c r="AF281">
        <v>170.8</v>
      </c>
      <c r="AG281">
        <v>173.1</v>
      </c>
      <c r="AH281">
        <v>176.4</v>
      </c>
      <c r="AI281" t="str">
        <f t="shared" si="24"/>
        <v>Yes</v>
      </c>
    </row>
    <row r="282" spans="1:35" x14ac:dyDescent="0.25">
      <c r="A282" t="s">
        <v>32</v>
      </c>
      <c r="B282">
        <v>2022</v>
      </c>
      <c r="C282">
        <v>9</v>
      </c>
      <c r="D282" s="13">
        <f t="shared" si="20"/>
        <v>44805</v>
      </c>
      <c r="E282">
        <v>164.9</v>
      </c>
      <c r="F282">
        <v>213.7</v>
      </c>
      <c r="G282">
        <v>170.9</v>
      </c>
      <c r="H282">
        <v>170.1</v>
      </c>
      <c r="I282">
        <v>179.3</v>
      </c>
      <c r="J282">
        <v>167.5</v>
      </c>
      <c r="K282">
        <v>220.8</v>
      </c>
      <c r="L282">
        <v>169.2</v>
      </c>
      <c r="M282">
        <v>123.1</v>
      </c>
      <c r="N282">
        <v>193.6</v>
      </c>
      <c r="O282">
        <v>161.1</v>
      </c>
      <c r="P282">
        <v>190.4</v>
      </c>
      <c r="Q282">
        <v>181.8</v>
      </c>
      <c r="R282" s="12">
        <f t="shared" si="21"/>
        <v>3.5897435897435964E-2</v>
      </c>
      <c r="S282">
        <v>199.7</v>
      </c>
      <c r="T282">
        <v>175</v>
      </c>
      <c r="U282">
        <v>161.69999999999999</v>
      </c>
      <c r="V282">
        <v>173</v>
      </c>
      <c r="W282">
        <v>169.5</v>
      </c>
      <c r="X282">
        <v>179.2</v>
      </c>
      <c r="Y282" s="12">
        <f t="shared" si="22"/>
        <v>-2.782415136338342E-3</v>
      </c>
      <c r="Z282">
        <v>165</v>
      </c>
      <c r="AA282">
        <v>173.8</v>
      </c>
      <c r="AB282" s="12">
        <f t="shared" si="23"/>
        <v>-3.5516093229744604E-2</v>
      </c>
      <c r="AC282">
        <v>158.19999999999999</v>
      </c>
      <c r="AD282">
        <v>165.8</v>
      </c>
      <c r="AE282">
        <v>170.9</v>
      </c>
      <c r="AF282">
        <v>171.1</v>
      </c>
      <c r="AG282">
        <v>166.1</v>
      </c>
      <c r="AH282">
        <v>174.1</v>
      </c>
      <c r="AI282" t="str">
        <f t="shared" si="24"/>
        <v>Yes</v>
      </c>
    </row>
    <row r="283" spans="1:35" x14ac:dyDescent="0.25">
      <c r="A283" t="s">
        <v>33</v>
      </c>
      <c r="B283">
        <v>2022</v>
      </c>
      <c r="C283">
        <v>9</v>
      </c>
      <c r="D283" s="13">
        <f t="shared" si="20"/>
        <v>44805</v>
      </c>
      <c r="E283">
        <v>163.5</v>
      </c>
      <c r="F283">
        <v>209.2</v>
      </c>
      <c r="G283">
        <v>169.7</v>
      </c>
      <c r="H283">
        <v>169.7</v>
      </c>
      <c r="I283">
        <v>188.7</v>
      </c>
      <c r="J283">
        <v>165.7</v>
      </c>
      <c r="K283">
        <v>191.8</v>
      </c>
      <c r="L283">
        <v>169.1</v>
      </c>
      <c r="M283">
        <v>121.6</v>
      </c>
      <c r="N283">
        <v>197.3</v>
      </c>
      <c r="O283">
        <v>169.4</v>
      </c>
      <c r="P283">
        <v>187.4</v>
      </c>
      <c r="Q283">
        <v>177.8</v>
      </c>
      <c r="R283" s="12">
        <f t="shared" si="21"/>
        <v>-2.2002200220022E-2</v>
      </c>
      <c r="S283">
        <v>195.9</v>
      </c>
      <c r="T283">
        <v>180.9</v>
      </c>
      <c r="U283">
        <v>174.3</v>
      </c>
      <c r="V283">
        <v>179.9</v>
      </c>
      <c r="W283">
        <v>169.5</v>
      </c>
      <c r="X283">
        <v>179.5</v>
      </c>
      <c r="Y283" s="12">
        <f t="shared" si="22"/>
        <v>1.6741071428572063E-3</v>
      </c>
      <c r="Z283">
        <v>169.5</v>
      </c>
      <c r="AA283">
        <v>177.8</v>
      </c>
      <c r="AB283" s="12">
        <f t="shared" si="23"/>
        <v>2.3014959723820481E-2</v>
      </c>
      <c r="AC283">
        <v>162.30000000000001</v>
      </c>
      <c r="AD283">
        <v>167.6</v>
      </c>
      <c r="AE283">
        <v>173.1</v>
      </c>
      <c r="AF283">
        <v>170.9</v>
      </c>
      <c r="AG283">
        <v>169.7</v>
      </c>
      <c r="AH283">
        <v>175.3</v>
      </c>
      <c r="AI283" t="str">
        <f t="shared" si="24"/>
        <v>Yes</v>
      </c>
    </row>
    <row r="284" spans="1:35" x14ac:dyDescent="0.25">
      <c r="A284" t="s">
        <v>30</v>
      </c>
      <c r="B284">
        <v>2013</v>
      </c>
      <c r="C284">
        <v>10</v>
      </c>
      <c r="D284" s="13">
        <f t="shared" si="20"/>
        <v>41548</v>
      </c>
      <c r="E284">
        <v>116.3</v>
      </c>
      <c r="F284">
        <v>115.4</v>
      </c>
      <c r="G284">
        <v>112.6</v>
      </c>
      <c r="H284">
        <v>111.7</v>
      </c>
      <c r="I284">
        <v>107.7</v>
      </c>
      <c r="J284">
        <v>113.2</v>
      </c>
      <c r="K284">
        <v>164.9</v>
      </c>
      <c r="L284">
        <v>108.3</v>
      </c>
      <c r="M284">
        <v>103.9</v>
      </c>
      <c r="N284">
        <v>108.2</v>
      </c>
      <c r="O284">
        <v>111.1</v>
      </c>
      <c r="P284">
        <v>114.9</v>
      </c>
      <c r="Q284">
        <v>119.8</v>
      </c>
      <c r="R284" s="12">
        <f t="shared" si="21"/>
        <v>-0.32620922384701917</v>
      </c>
      <c r="S284">
        <v>112.2</v>
      </c>
      <c r="T284">
        <v>113.6</v>
      </c>
      <c r="U284">
        <v>112.3</v>
      </c>
      <c r="V284">
        <v>113.4</v>
      </c>
      <c r="W284" t="s">
        <v>31</v>
      </c>
      <c r="X284">
        <v>111.6</v>
      </c>
      <c r="Y284" s="12">
        <f t="shared" si="22"/>
        <v>-0.3782729805013928</v>
      </c>
      <c r="Z284">
        <v>110.4</v>
      </c>
      <c r="AA284">
        <v>108.9</v>
      </c>
      <c r="AB284" s="12">
        <f t="shared" si="23"/>
        <v>-0.38751406074240718</v>
      </c>
      <c r="AC284">
        <v>109.3</v>
      </c>
      <c r="AD284">
        <v>108.3</v>
      </c>
      <c r="AE284">
        <v>110.2</v>
      </c>
      <c r="AF284">
        <v>107.5</v>
      </c>
      <c r="AG284">
        <v>109.1</v>
      </c>
      <c r="AH284">
        <v>115.5</v>
      </c>
      <c r="AI284" t="str">
        <f t="shared" si="24"/>
        <v>No</v>
      </c>
    </row>
    <row r="285" spans="1:35" x14ac:dyDescent="0.25">
      <c r="A285" t="s">
        <v>32</v>
      </c>
      <c r="B285">
        <v>2013</v>
      </c>
      <c r="C285">
        <v>10</v>
      </c>
      <c r="D285" s="13">
        <f t="shared" si="20"/>
        <v>41548</v>
      </c>
      <c r="E285">
        <v>118.9</v>
      </c>
      <c r="F285">
        <v>118.1</v>
      </c>
      <c r="G285">
        <v>114.5</v>
      </c>
      <c r="H285">
        <v>110.4</v>
      </c>
      <c r="I285">
        <v>102.3</v>
      </c>
      <c r="J285">
        <v>106.2</v>
      </c>
      <c r="K285">
        <v>183.5</v>
      </c>
      <c r="L285">
        <v>105.3</v>
      </c>
      <c r="M285">
        <v>100.2</v>
      </c>
      <c r="N285">
        <v>109.6</v>
      </c>
      <c r="O285">
        <v>111.4</v>
      </c>
      <c r="P285">
        <v>116</v>
      </c>
      <c r="Q285">
        <v>120.8</v>
      </c>
      <c r="R285" s="12">
        <f t="shared" si="21"/>
        <v>8.3472454090150246E-3</v>
      </c>
      <c r="S285">
        <v>113.5</v>
      </c>
      <c r="T285">
        <v>112.5</v>
      </c>
      <c r="U285">
        <v>109.7</v>
      </c>
      <c r="V285">
        <v>112</v>
      </c>
      <c r="W285">
        <v>110.5</v>
      </c>
      <c r="X285">
        <v>109.7</v>
      </c>
      <c r="Y285" s="12">
        <f t="shared" si="22"/>
        <v>-1.7025089605734692E-2</v>
      </c>
      <c r="Z285">
        <v>110.2</v>
      </c>
      <c r="AA285">
        <v>108.2</v>
      </c>
      <c r="AB285" s="12">
        <f t="shared" si="23"/>
        <v>-6.4279155188246354E-3</v>
      </c>
      <c r="AC285">
        <v>109.7</v>
      </c>
      <c r="AD285">
        <v>108</v>
      </c>
      <c r="AE285">
        <v>111.3</v>
      </c>
      <c r="AF285">
        <v>107.3</v>
      </c>
      <c r="AG285">
        <v>109.4</v>
      </c>
      <c r="AH285">
        <v>114</v>
      </c>
      <c r="AI285" t="str">
        <f t="shared" si="24"/>
        <v>No</v>
      </c>
    </row>
    <row r="286" spans="1:35" x14ac:dyDescent="0.25">
      <c r="A286" t="s">
        <v>33</v>
      </c>
      <c r="B286">
        <v>2013</v>
      </c>
      <c r="C286">
        <v>10</v>
      </c>
      <c r="D286" s="13">
        <f t="shared" si="20"/>
        <v>41548</v>
      </c>
      <c r="E286">
        <v>117.1</v>
      </c>
      <c r="F286">
        <v>116.3</v>
      </c>
      <c r="G286">
        <v>113.3</v>
      </c>
      <c r="H286">
        <v>111.2</v>
      </c>
      <c r="I286">
        <v>105.7</v>
      </c>
      <c r="J286">
        <v>109.9</v>
      </c>
      <c r="K286">
        <v>171.2</v>
      </c>
      <c r="L286">
        <v>107.3</v>
      </c>
      <c r="M286">
        <v>102.7</v>
      </c>
      <c r="N286">
        <v>108.7</v>
      </c>
      <c r="O286">
        <v>111.2</v>
      </c>
      <c r="P286">
        <v>115.4</v>
      </c>
      <c r="Q286">
        <v>120.2</v>
      </c>
      <c r="R286" s="12">
        <f t="shared" si="21"/>
        <v>-4.9668874172184964E-3</v>
      </c>
      <c r="S286">
        <v>112.5</v>
      </c>
      <c r="T286">
        <v>113.2</v>
      </c>
      <c r="U286">
        <v>111.2</v>
      </c>
      <c r="V286">
        <v>112.8</v>
      </c>
      <c r="W286">
        <v>110.5</v>
      </c>
      <c r="X286">
        <v>110.9</v>
      </c>
      <c r="Y286" s="12">
        <f t="shared" si="22"/>
        <v>1.0938924339106679E-2</v>
      </c>
      <c r="Z286">
        <v>110.3</v>
      </c>
      <c r="AA286">
        <v>108.6</v>
      </c>
      <c r="AB286" s="12">
        <f t="shared" si="23"/>
        <v>3.6968576709795883E-3</v>
      </c>
      <c r="AC286">
        <v>109.5</v>
      </c>
      <c r="AD286">
        <v>108.1</v>
      </c>
      <c r="AE286">
        <v>110.8</v>
      </c>
      <c r="AF286">
        <v>107.4</v>
      </c>
      <c r="AG286">
        <v>109.2</v>
      </c>
      <c r="AH286">
        <v>114.8</v>
      </c>
      <c r="AI286" t="str">
        <f t="shared" si="24"/>
        <v>No</v>
      </c>
    </row>
    <row r="287" spans="1:35" x14ac:dyDescent="0.25">
      <c r="A287" t="s">
        <v>30</v>
      </c>
      <c r="B287">
        <v>2014</v>
      </c>
      <c r="C287">
        <v>10</v>
      </c>
      <c r="D287" s="13">
        <f t="shared" si="20"/>
        <v>41913</v>
      </c>
      <c r="E287">
        <v>122.6</v>
      </c>
      <c r="F287">
        <v>122.5</v>
      </c>
      <c r="G287">
        <v>118.3</v>
      </c>
      <c r="H287">
        <v>123.2</v>
      </c>
      <c r="I287">
        <v>110.5</v>
      </c>
      <c r="J287">
        <v>128.9</v>
      </c>
      <c r="K287">
        <v>155.30000000000001</v>
      </c>
      <c r="L287">
        <v>115.5</v>
      </c>
      <c r="M287">
        <v>104</v>
      </c>
      <c r="N287">
        <v>115.3</v>
      </c>
      <c r="O287">
        <v>116.8</v>
      </c>
      <c r="P287">
        <v>123.2</v>
      </c>
      <c r="Q287">
        <v>125.1</v>
      </c>
      <c r="R287" s="12">
        <f t="shared" si="21"/>
        <v>4.0765391014974971E-2</v>
      </c>
      <c r="S287">
        <v>120</v>
      </c>
      <c r="T287">
        <v>122.7</v>
      </c>
      <c r="U287">
        <v>120.3</v>
      </c>
      <c r="V287">
        <v>122.3</v>
      </c>
      <c r="W287" t="s">
        <v>31</v>
      </c>
      <c r="X287">
        <v>116.4</v>
      </c>
      <c r="Y287" s="12">
        <f t="shared" si="22"/>
        <v>4.9594229035166817E-2</v>
      </c>
      <c r="Z287">
        <v>117.5</v>
      </c>
      <c r="AA287">
        <v>115.3</v>
      </c>
      <c r="AB287" s="12">
        <f t="shared" si="23"/>
        <v>6.1694290976058962E-2</v>
      </c>
      <c r="AC287">
        <v>112.6</v>
      </c>
      <c r="AD287">
        <v>113</v>
      </c>
      <c r="AE287">
        <v>116.9</v>
      </c>
      <c r="AF287">
        <v>109.3</v>
      </c>
      <c r="AG287">
        <v>114</v>
      </c>
      <c r="AH287">
        <v>121</v>
      </c>
      <c r="AI287" t="str">
        <f t="shared" si="24"/>
        <v>No</v>
      </c>
    </row>
    <row r="288" spans="1:35" x14ac:dyDescent="0.25">
      <c r="A288" t="s">
        <v>32</v>
      </c>
      <c r="B288">
        <v>2014</v>
      </c>
      <c r="C288">
        <v>10</v>
      </c>
      <c r="D288" s="13">
        <f t="shared" si="20"/>
        <v>41913</v>
      </c>
      <c r="E288">
        <v>124.6</v>
      </c>
      <c r="F288">
        <v>126.1</v>
      </c>
      <c r="G288">
        <v>117.8</v>
      </c>
      <c r="H288">
        <v>123.1</v>
      </c>
      <c r="I288">
        <v>103.5</v>
      </c>
      <c r="J288">
        <v>123.5</v>
      </c>
      <c r="K288">
        <v>159.6</v>
      </c>
      <c r="L288">
        <v>117.4</v>
      </c>
      <c r="M288">
        <v>101.2</v>
      </c>
      <c r="N288">
        <v>123.8</v>
      </c>
      <c r="O288">
        <v>115.2</v>
      </c>
      <c r="P288">
        <v>125.9</v>
      </c>
      <c r="Q288">
        <v>125.8</v>
      </c>
      <c r="R288" s="12">
        <f t="shared" si="21"/>
        <v>5.5955235811351147E-3</v>
      </c>
      <c r="S288">
        <v>124.3</v>
      </c>
      <c r="T288">
        <v>119.6</v>
      </c>
      <c r="U288">
        <v>114.9</v>
      </c>
      <c r="V288">
        <v>118.9</v>
      </c>
      <c r="W288">
        <v>116.7</v>
      </c>
      <c r="X288">
        <v>112</v>
      </c>
      <c r="Y288" s="12">
        <f t="shared" si="22"/>
        <v>-3.7800687285223414E-2</v>
      </c>
      <c r="Z288">
        <v>115.8</v>
      </c>
      <c r="AA288">
        <v>112.6</v>
      </c>
      <c r="AB288" s="12">
        <f t="shared" si="23"/>
        <v>-2.3417172593235065E-2</v>
      </c>
      <c r="AC288">
        <v>111</v>
      </c>
      <c r="AD288">
        <v>113.6</v>
      </c>
      <c r="AE288">
        <v>120.2</v>
      </c>
      <c r="AF288">
        <v>110.1</v>
      </c>
      <c r="AG288">
        <v>113.7</v>
      </c>
      <c r="AH288">
        <v>119.1</v>
      </c>
      <c r="AI288" t="str">
        <f t="shared" si="24"/>
        <v>No</v>
      </c>
    </row>
    <row r="289" spans="1:35" x14ac:dyDescent="0.25">
      <c r="A289" t="s">
        <v>33</v>
      </c>
      <c r="B289">
        <v>2014</v>
      </c>
      <c r="C289">
        <v>10</v>
      </c>
      <c r="D289" s="13">
        <f t="shared" si="20"/>
        <v>41913</v>
      </c>
      <c r="E289">
        <v>123.2</v>
      </c>
      <c r="F289">
        <v>123.8</v>
      </c>
      <c r="G289">
        <v>118.1</v>
      </c>
      <c r="H289">
        <v>123.2</v>
      </c>
      <c r="I289">
        <v>107.9</v>
      </c>
      <c r="J289">
        <v>126.4</v>
      </c>
      <c r="K289">
        <v>156.80000000000001</v>
      </c>
      <c r="L289">
        <v>116.1</v>
      </c>
      <c r="M289">
        <v>103.1</v>
      </c>
      <c r="N289">
        <v>118.1</v>
      </c>
      <c r="O289">
        <v>116.1</v>
      </c>
      <c r="P289">
        <v>124.5</v>
      </c>
      <c r="Q289">
        <v>125.4</v>
      </c>
      <c r="R289" s="12">
        <f t="shared" si="21"/>
        <v>-3.1796502384737E-3</v>
      </c>
      <c r="S289">
        <v>121.1</v>
      </c>
      <c r="T289">
        <v>121.5</v>
      </c>
      <c r="U289">
        <v>118.1</v>
      </c>
      <c r="V289">
        <v>121</v>
      </c>
      <c r="W289">
        <v>116.7</v>
      </c>
      <c r="X289">
        <v>114.7</v>
      </c>
      <c r="Y289" s="12">
        <f t="shared" si="22"/>
        <v>2.4107142857142883E-2</v>
      </c>
      <c r="Z289">
        <v>116.7</v>
      </c>
      <c r="AA289">
        <v>114.3</v>
      </c>
      <c r="AB289" s="12">
        <f t="shared" si="23"/>
        <v>1.5097690941385461E-2</v>
      </c>
      <c r="AC289">
        <v>111.8</v>
      </c>
      <c r="AD289">
        <v>113.3</v>
      </c>
      <c r="AE289">
        <v>118.8</v>
      </c>
      <c r="AF289">
        <v>109.6</v>
      </c>
      <c r="AG289">
        <v>113.9</v>
      </c>
      <c r="AH289">
        <v>120.1</v>
      </c>
      <c r="AI289" t="str">
        <f t="shared" si="24"/>
        <v>No</v>
      </c>
    </row>
    <row r="290" spans="1:35" x14ac:dyDescent="0.25">
      <c r="A290" t="s">
        <v>30</v>
      </c>
      <c r="B290">
        <v>2015</v>
      </c>
      <c r="C290">
        <v>10</v>
      </c>
      <c r="D290" s="13">
        <f t="shared" si="20"/>
        <v>42278</v>
      </c>
      <c r="E290">
        <v>125.6</v>
      </c>
      <c r="F290">
        <v>130.4</v>
      </c>
      <c r="G290">
        <v>120.8</v>
      </c>
      <c r="H290">
        <v>129.4</v>
      </c>
      <c r="I290">
        <v>115.8</v>
      </c>
      <c r="J290">
        <v>133.19999999999999</v>
      </c>
      <c r="K290">
        <v>157.69999999999999</v>
      </c>
      <c r="L290">
        <v>154.19999999999999</v>
      </c>
      <c r="M290">
        <v>93.7</v>
      </c>
      <c r="N290">
        <v>126.6</v>
      </c>
      <c r="O290">
        <v>122.3</v>
      </c>
      <c r="P290">
        <v>133.1</v>
      </c>
      <c r="Q290">
        <v>131.80000000000001</v>
      </c>
      <c r="R290" s="12">
        <f t="shared" si="21"/>
        <v>5.1036682615630026E-2</v>
      </c>
      <c r="S290">
        <v>131.5</v>
      </c>
      <c r="T290">
        <v>131.1</v>
      </c>
      <c r="U290">
        <v>127.3</v>
      </c>
      <c r="V290">
        <v>130.6</v>
      </c>
      <c r="W290" t="s">
        <v>31</v>
      </c>
      <c r="X290">
        <v>124.4</v>
      </c>
      <c r="Y290" s="12">
        <f t="shared" si="22"/>
        <v>8.4568439407149101E-2</v>
      </c>
      <c r="Z290">
        <v>125.1</v>
      </c>
      <c r="AA290">
        <v>122</v>
      </c>
      <c r="AB290" s="12">
        <f t="shared" si="23"/>
        <v>6.7366579177602831E-2</v>
      </c>
      <c r="AC290">
        <v>113.8</v>
      </c>
      <c r="AD290">
        <v>120.1</v>
      </c>
      <c r="AE290">
        <v>125.1</v>
      </c>
      <c r="AF290">
        <v>114.2</v>
      </c>
      <c r="AG290">
        <v>119.2</v>
      </c>
      <c r="AH290">
        <v>127.7</v>
      </c>
      <c r="AI290" t="str">
        <f t="shared" si="24"/>
        <v>No</v>
      </c>
    </row>
    <row r="291" spans="1:35" x14ac:dyDescent="0.25">
      <c r="A291" t="s">
        <v>32</v>
      </c>
      <c r="B291">
        <v>2015</v>
      </c>
      <c r="C291">
        <v>10</v>
      </c>
      <c r="D291" s="13">
        <f t="shared" si="20"/>
        <v>42278</v>
      </c>
      <c r="E291">
        <v>123.6</v>
      </c>
      <c r="F291">
        <v>128.6</v>
      </c>
      <c r="G291">
        <v>115.9</v>
      </c>
      <c r="H291">
        <v>128.5</v>
      </c>
      <c r="I291">
        <v>109</v>
      </c>
      <c r="J291">
        <v>124.1</v>
      </c>
      <c r="K291">
        <v>165.8</v>
      </c>
      <c r="L291">
        <v>187.2</v>
      </c>
      <c r="M291">
        <v>89.4</v>
      </c>
      <c r="N291">
        <v>135.80000000000001</v>
      </c>
      <c r="O291">
        <v>119.4</v>
      </c>
      <c r="P291">
        <v>132.9</v>
      </c>
      <c r="Q291">
        <v>132.6</v>
      </c>
      <c r="R291" s="12">
        <f t="shared" si="21"/>
        <v>6.0698027314110992E-3</v>
      </c>
      <c r="S291">
        <v>135.30000000000001</v>
      </c>
      <c r="T291">
        <v>124.4</v>
      </c>
      <c r="U291">
        <v>118.8</v>
      </c>
      <c r="V291">
        <v>123.6</v>
      </c>
      <c r="W291">
        <v>122.4</v>
      </c>
      <c r="X291">
        <v>114.9</v>
      </c>
      <c r="Y291" s="12">
        <f t="shared" si="22"/>
        <v>-7.6366559485530547E-2</v>
      </c>
      <c r="Z291">
        <v>120.7</v>
      </c>
      <c r="AA291">
        <v>117.7</v>
      </c>
      <c r="AB291" s="12">
        <f t="shared" si="23"/>
        <v>-3.524590163934424E-2</v>
      </c>
      <c r="AC291">
        <v>109.3</v>
      </c>
      <c r="AD291">
        <v>117.7</v>
      </c>
      <c r="AE291">
        <v>126.5</v>
      </c>
      <c r="AF291">
        <v>113.5</v>
      </c>
      <c r="AG291">
        <v>116.5</v>
      </c>
      <c r="AH291">
        <v>124.2</v>
      </c>
      <c r="AI291" t="str">
        <f t="shared" si="24"/>
        <v>No</v>
      </c>
    </row>
    <row r="292" spans="1:35" x14ac:dyDescent="0.25">
      <c r="A292" t="s">
        <v>33</v>
      </c>
      <c r="B292">
        <v>2015</v>
      </c>
      <c r="C292">
        <v>10</v>
      </c>
      <c r="D292" s="13">
        <f t="shared" si="20"/>
        <v>42278</v>
      </c>
      <c r="E292">
        <v>125</v>
      </c>
      <c r="F292">
        <v>129.80000000000001</v>
      </c>
      <c r="G292">
        <v>118.9</v>
      </c>
      <c r="H292">
        <v>129.1</v>
      </c>
      <c r="I292">
        <v>113.3</v>
      </c>
      <c r="J292">
        <v>129</v>
      </c>
      <c r="K292">
        <v>160.4</v>
      </c>
      <c r="L292">
        <v>165.3</v>
      </c>
      <c r="M292">
        <v>92.3</v>
      </c>
      <c r="N292">
        <v>129.69999999999999</v>
      </c>
      <c r="O292">
        <v>121.1</v>
      </c>
      <c r="P292">
        <v>133</v>
      </c>
      <c r="Q292">
        <v>132.1</v>
      </c>
      <c r="R292" s="12">
        <f t="shared" si="21"/>
        <v>-3.770739064856712E-3</v>
      </c>
      <c r="S292">
        <v>132.5</v>
      </c>
      <c r="T292">
        <v>128.5</v>
      </c>
      <c r="U292">
        <v>123.8</v>
      </c>
      <c r="V292">
        <v>127.8</v>
      </c>
      <c r="W292">
        <v>122.4</v>
      </c>
      <c r="X292">
        <v>120.8</v>
      </c>
      <c r="Y292" s="12">
        <f t="shared" si="22"/>
        <v>5.1348999129677907E-2</v>
      </c>
      <c r="Z292">
        <v>123</v>
      </c>
      <c r="AA292">
        <v>120.4</v>
      </c>
      <c r="AB292" s="12">
        <f t="shared" si="23"/>
        <v>2.2939677145284644E-2</v>
      </c>
      <c r="AC292">
        <v>111.4</v>
      </c>
      <c r="AD292">
        <v>118.7</v>
      </c>
      <c r="AE292">
        <v>125.9</v>
      </c>
      <c r="AF292">
        <v>113.9</v>
      </c>
      <c r="AG292">
        <v>117.9</v>
      </c>
      <c r="AH292">
        <v>126.1</v>
      </c>
      <c r="AI292" t="str">
        <f t="shared" si="24"/>
        <v>No</v>
      </c>
    </row>
    <row r="293" spans="1:35" x14ac:dyDescent="0.25">
      <c r="A293" t="s">
        <v>30</v>
      </c>
      <c r="B293">
        <v>2016</v>
      </c>
      <c r="C293">
        <v>10</v>
      </c>
      <c r="D293" s="13">
        <f t="shared" si="20"/>
        <v>42644</v>
      </c>
      <c r="E293">
        <v>131.30000000000001</v>
      </c>
      <c r="F293">
        <v>137.6</v>
      </c>
      <c r="G293">
        <v>130.1</v>
      </c>
      <c r="H293">
        <v>136</v>
      </c>
      <c r="I293">
        <v>120.8</v>
      </c>
      <c r="J293">
        <v>138.4</v>
      </c>
      <c r="K293">
        <v>149.19999999999999</v>
      </c>
      <c r="L293">
        <v>170.2</v>
      </c>
      <c r="M293">
        <v>113.4</v>
      </c>
      <c r="N293">
        <v>136.30000000000001</v>
      </c>
      <c r="O293">
        <v>128.69999999999999</v>
      </c>
      <c r="P293">
        <v>142.4</v>
      </c>
      <c r="Q293">
        <v>137.4</v>
      </c>
      <c r="R293" s="12">
        <f t="shared" si="21"/>
        <v>4.0121120363361178E-2</v>
      </c>
      <c r="S293">
        <v>140.9</v>
      </c>
      <c r="T293">
        <v>139.6</v>
      </c>
      <c r="U293">
        <v>134.30000000000001</v>
      </c>
      <c r="V293">
        <v>138.80000000000001</v>
      </c>
      <c r="W293" t="s">
        <v>31</v>
      </c>
      <c r="X293">
        <v>129.80000000000001</v>
      </c>
      <c r="Y293" s="12">
        <f t="shared" si="22"/>
        <v>7.4503311258278263E-2</v>
      </c>
      <c r="Z293">
        <v>131.80000000000001</v>
      </c>
      <c r="AA293">
        <v>128.69999999999999</v>
      </c>
      <c r="AB293" s="12">
        <f t="shared" si="23"/>
        <v>6.8936877076411815E-2</v>
      </c>
      <c r="AC293">
        <v>117.8</v>
      </c>
      <c r="AD293">
        <v>126.5</v>
      </c>
      <c r="AE293">
        <v>133</v>
      </c>
      <c r="AF293">
        <v>123</v>
      </c>
      <c r="AG293">
        <v>125.7</v>
      </c>
      <c r="AH293">
        <v>133.80000000000001</v>
      </c>
      <c r="AI293" t="str">
        <f t="shared" si="24"/>
        <v>No</v>
      </c>
    </row>
    <row r="294" spans="1:35" x14ac:dyDescent="0.25">
      <c r="A294" t="s">
        <v>32</v>
      </c>
      <c r="B294">
        <v>2016</v>
      </c>
      <c r="C294">
        <v>10</v>
      </c>
      <c r="D294" s="13">
        <f t="shared" si="20"/>
        <v>42644</v>
      </c>
      <c r="E294">
        <v>128.69999999999999</v>
      </c>
      <c r="F294">
        <v>138.4</v>
      </c>
      <c r="G294">
        <v>130.30000000000001</v>
      </c>
      <c r="H294">
        <v>132.69999999999999</v>
      </c>
      <c r="I294">
        <v>112.5</v>
      </c>
      <c r="J294">
        <v>130.4</v>
      </c>
      <c r="K294">
        <v>155.1</v>
      </c>
      <c r="L294">
        <v>175.7</v>
      </c>
      <c r="M294">
        <v>115.4</v>
      </c>
      <c r="N294">
        <v>145.30000000000001</v>
      </c>
      <c r="O294">
        <v>122.5</v>
      </c>
      <c r="P294">
        <v>139.6</v>
      </c>
      <c r="Q294">
        <v>136.30000000000001</v>
      </c>
      <c r="R294" s="12">
        <f t="shared" si="21"/>
        <v>-8.0058224163027242E-3</v>
      </c>
      <c r="S294">
        <v>144.30000000000001</v>
      </c>
      <c r="T294">
        <v>129.1</v>
      </c>
      <c r="U294">
        <v>121.9</v>
      </c>
      <c r="V294">
        <v>128</v>
      </c>
      <c r="W294">
        <v>128.69999999999999</v>
      </c>
      <c r="X294">
        <v>115.2</v>
      </c>
      <c r="Y294" s="12">
        <f t="shared" si="22"/>
        <v>-0.11248073959938372</v>
      </c>
      <c r="Z294">
        <v>124.5</v>
      </c>
      <c r="AA294">
        <v>121.8</v>
      </c>
      <c r="AB294" s="12">
        <f t="shared" si="23"/>
        <v>-5.3613053613053553E-2</v>
      </c>
      <c r="AC294">
        <v>112.8</v>
      </c>
      <c r="AD294">
        <v>121.2</v>
      </c>
      <c r="AE294">
        <v>131.9</v>
      </c>
      <c r="AF294">
        <v>120.8</v>
      </c>
      <c r="AG294">
        <v>120.9</v>
      </c>
      <c r="AH294">
        <v>128.6</v>
      </c>
      <c r="AI294" t="str">
        <f t="shared" si="24"/>
        <v>No</v>
      </c>
    </row>
    <row r="295" spans="1:35" x14ac:dyDescent="0.25">
      <c r="A295" t="s">
        <v>33</v>
      </c>
      <c r="B295">
        <v>2016</v>
      </c>
      <c r="C295">
        <v>10</v>
      </c>
      <c r="D295" s="13">
        <f t="shared" si="20"/>
        <v>42644</v>
      </c>
      <c r="E295">
        <v>130.5</v>
      </c>
      <c r="F295">
        <v>137.9</v>
      </c>
      <c r="G295">
        <v>130.19999999999999</v>
      </c>
      <c r="H295">
        <v>134.80000000000001</v>
      </c>
      <c r="I295">
        <v>117.8</v>
      </c>
      <c r="J295">
        <v>134.69999999999999</v>
      </c>
      <c r="K295">
        <v>151.19999999999999</v>
      </c>
      <c r="L295">
        <v>172.1</v>
      </c>
      <c r="M295">
        <v>114.1</v>
      </c>
      <c r="N295">
        <v>139.30000000000001</v>
      </c>
      <c r="O295">
        <v>126.1</v>
      </c>
      <c r="P295">
        <v>141.1</v>
      </c>
      <c r="Q295">
        <v>137</v>
      </c>
      <c r="R295" s="12">
        <f t="shared" si="21"/>
        <v>5.1357300073366736E-3</v>
      </c>
      <c r="S295">
        <v>141.80000000000001</v>
      </c>
      <c r="T295">
        <v>135.5</v>
      </c>
      <c r="U295">
        <v>129.1</v>
      </c>
      <c r="V295">
        <v>134.5</v>
      </c>
      <c r="W295">
        <v>128.69999999999999</v>
      </c>
      <c r="X295">
        <v>124.3</v>
      </c>
      <c r="Y295" s="12">
        <f t="shared" si="22"/>
        <v>7.8993055555555511E-2</v>
      </c>
      <c r="Z295">
        <v>128.4</v>
      </c>
      <c r="AA295">
        <v>126.1</v>
      </c>
      <c r="AB295" s="12">
        <f t="shared" si="23"/>
        <v>3.5303776683087006E-2</v>
      </c>
      <c r="AC295">
        <v>115.2</v>
      </c>
      <c r="AD295">
        <v>123.5</v>
      </c>
      <c r="AE295">
        <v>132.4</v>
      </c>
      <c r="AF295">
        <v>122.1</v>
      </c>
      <c r="AG295">
        <v>123.4</v>
      </c>
      <c r="AH295">
        <v>131.4</v>
      </c>
      <c r="AI295" t="str">
        <f t="shared" si="24"/>
        <v>No</v>
      </c>
    </row>
    <row r="296" spans="1:35" x14ac:dyDescent="0.25">
      <c r="A296" t="s">
        <v>30</v>
      </c>
      <c r="B296">
        <v>2017</v>
      </c>
      <c r="C296">
        <v>10</v>
      </c>
      <c r="D296" s="13">
        <f t="shared" si="20"/>
        <v>43009</v>
      </c>
      <c r="E296">
        <v>135.9</v>
      </c>
      <c r="F296">
        <v>141.9</v>
      </c>
      <c r="G296">
        <v>131</v>
      </c>
      <c r="H296">
        <v>141.5</v>
      </c>
      <c r="I296">
        <v>121.4</v>
      </c>
      <c r="J296">
        <v>146.69999999999999</v>
      </c>
      <c r="K296">
        <v>157.1</v>
      </c>
      <c r="L296">
        <v>136.4</v>
      </c>
      <c r="M296">
        <v>121.4</v>
      </c>
      <c r="N296">
        <v>135.6</v>
      </c>
      <c r="O296">
        <v>131.30000000000001</v>
      </c>
      <c r="P296">
        <v>150.30000000000001</v>
      </c>
      <c r="Q296">
        <v>140.4</v>
      </c>
      <c r="R296" s="12">
        <f t="shared" si="21"/>
        <v>2.4817518248175224E-2</v>
      </c>
      <c r="S296">
        <v>150.5</v>
      </c>
      <c r="T296">
        <v>147.19999999999999</v>
      </c>
      <c r="U296">
        <v>140.6</v>
      </c>
      <c r="V296">
        <v>146.19999999999999</v>
      </c>
      <c r="W296" t="s">
        <v>31</v>
      </c>
      <c r="X296">
        <v>138.1</v>
      </c>
      <c r="Y296" s="12">
        <f t="shared" si="22"/>
        <v>0.11102172164119065</v>
      </c>
      <c r="Z296">
        <v>138.4</v>
      </c>
      <c r="AA296">
        <v>134.19999999999999</v>
      </c>
      <c r="AB296" s="12">
        <f t="shared" si="23"/>
        <v>6.4234734337827074E-2</v>
      </c>
      <c r="AC296">
        <v>121</v>
      </c>
      <c r="AD296">
        <v>133</v>
      </c>
      <c r="AE296">
        <v>140.1</v>
      </c>
      <c r="AF296">
        <v>127.4</v>
      </c>
      <c r="AG296">
        <v>130.69999999999999</v>
      </c>
      <c r="AH296">
        <v>138.30000000000001</v>
      </c>
      <c r="AI296" t="str">
        <f t="shared" si="24"/>
        <v>No</v>
      </c>
    </row>
    <row r="297" spans="1:35" x14ac:dyDescent="0.25">
      <c r="A297" t="s">
        <v>32</v>
      </c>
      <c r="B297">
        <v>2017</v>
      </c>
      <c r="C297">
        <v>10</v>
      </c>
      <c r="D297" s="13">
        <f t="shared" si="20"/>
        <v>43009</v>
      </c>
      <c r="E297">
        <v>133.9</v>
      </c>
      <c r="F297">
        <v>142.80000000000001</v>
      </c>
      <c r="G297">
        <v>131.4</v>
      </c>
      <c r="H297">
        <v>139.1</v>
      </c>
      <c r="I297">
        <v>114.9</v>
      </c>
      <c r="J297">
        <v>135.6</v>
      </c>
      <c r="K297">
        <v>173.2</v>
      </c>
      <c r="L297">
        <v>124.1</v>
      </c>
      <c r="M297">
        <v>122.6</v>
      </c>
      <c r="N297">
        <v>137.80000000000001</v>
      </c>
      <c r="O297">
        <v>125.1</v>
      </c>
      <c r="P297">
        <v>145.5</v>
      </c>
      <c r="Q297">
        <v>139.69999999999999</v>
      </c>
      <c r="R297" s="12">
        <f t="shared" si="21"/>
        <v>-4.9857549857551071E-3</v>
      </c>
      <c r="S297">
        <v>154.6</v>
      </c>
      <c r="T297">
        <v>134</v>
      </c>
      <c r="U297">
        <v>124.9</v>
      </c>
      <c r="V297">
        <v>132.6</v>
      </c>
      <c r="W297">
        <v>137.30000000000001</v>
      </c>
      <c r="X297">
        <v>122.6</v>
      </c>
      <c r="Y297" s="12">
        <f t="shared" si="22"/>
        <v>-0.11223750905141203</v>
      </c>
      <c r="Z297">
        <v>128.30000000000001</v>
      </c>
      <c r="AA297">
        <v>126.6</v>
      </c>
      <c r="AB297" s="12">
        <f t="shared" si="23"/>
        <v>-5.6631892697466428E-2</v>
      </c>
      <c r="AC297">
        <v>115</v>
      </c>
      <c r="AD297">
        <v>124.8</v>
      </c>
      <c r="AE297">
        <v>136.30000000000001</v>
      </c>
      <c r="AF297">
        <v>124.6</v>
      </c>
      <c r="AG297">
        <v>124.5</v>
      </c>
      <c r="AH297">
        <v>133.5</v>
      </c>
      <c r="AI297" t="str">
        <f t="shared" si="24"/>
        <v>No</v>
      </c>
    </row>
    <row r="298" spans="1:35" x14ac:dyDescent="0.25">
      <c r="A298" t="s">
        <v>33</v>
      </c>
      <c r="B298">
        <v>2017</v>
      </c>
      <c r="C298">
        <v>10</v>
      </c>
      <c r="D298" s="13">
        <f t="shared" si="20"/>
        <v>43009</v>
      </c>
      <c r="E298">
        <v>135.30000000000001</v>
      </c>
      <c r="F298">
        <v>142.19999999999999</v>
      </c>
      <c r="G298">
        <v>131.19999999999999</v>
      </c>
      <c r="H298">
        <v>140.6</v>
      </c>
      <c r="I298">
        <v>119</v>
      </c>
      <c r="J298">
        <v>141.5</v>
      </c>
      <c r="K298">
        <v>162.6</v>
      </c>
      <c r="L298">
        <v>132.30000000000001</v>
      </c>
      <c r="M298">
        <v>121.8</v>
      </c>
      <c r="N298">
        <v>136.30000000000001</v>
      </c>
      <c r="O298">
        <v>128.69999999999999</v>
      </c>
      <c r="P298">
        <v>148.1</v>
      </c>
      <c r="Q298">
        <v>140.1</v>
      </c>
      <c r="R298" s="12">
        <f t="shared" si="21"/>
        <v>2.863278453829676E-3</v>
      </c>
      <c r="S298">
        <v>151.6</v>
      </c>
      <c r="T298">
        <v>142</v>
      </c>
      <c r="U298">
        <v>134.1</v>
      </c>
      <c r="V298">
        <v>140.80000000000001</v>
      </c>
      <c r="W298">
        <v>137.30000000000001</v>
      </c>
      <c r="X298">
        <v>132.19999999999999</v>
      </c>
      <c r="Y298" s="12">
        <f t="shared" si="22"/>
        <v>7.8303425774877602E-2</v>
      </c>
      <c r="Z298">
        <v>133.6</v>
      </c>
      <c r="AA298">
        <v>131.30000000000001</v>
      </c>
      <c r="AB298" s="12">
        <f t="shared" si="23"/>
        <v>3.7124802527646265E-2</v>
      </c>
      <c r="AC298">
        <v>117.8</v>
      </c>
      <c r="AD298">
        <v>128.4</v>
      </c>
      <c r="AE298">
        <v>137.9</v>
      </c>
      <c r="AF298">
        <v>126.2</v>
      </c>
      <c r="AG298">
        <v>127.7</v>
      </c>
      <c r="AH298">
        <v>136.1</v>
      </c>
      <c r="AI298" t="str">
        <f t="shared" si="24"/>
        <v>No</v>
      </c>
    </row>
    <row r="299" spans="1:35" x14ac:dyDescent="0.25">
      <c r="A299" t="s">
        <v>30</v>
      </c>
      <c r="B299">
        <v>2018</v>
      </c>
      <c r="C299">
        <v>10</v>
      </c>
      <c r="D299" s="13">
        <f t="shared" si="20"/>
        <v>43374</v>
      </c>
      <c r="E299">
        <v>139.30000000000001</v>
      </c>
      <c r="F299">
        <v>147.6</v>
      </c>
      <c r="G299">
        <v>134.6</v>
      </c>
      <c r="H299">
        <v>141.9</v>
      </c>
      <c r="I299">
        <v>123.5</v>
      </c>
      <c r="J299">
        <v>144.5</v>
      </c>
      <c r="K299">
        <v>147.6</v>
      </c>
      <c r="L299">
        <v>121.4</v>
      </c>
      <c r="M299">
        <v>112.3</v>
      </c>
      <c r="N299">
        <v>139.5</v>
      </c>
      <c r="O299">
        <v>134.6</v>
      </c>
      <c r="P299">
        <v>155.19999999999999</v>
      </c>
      <c r="Q299">
        <v>140.19999999999999</v>
      </c>
      <c r="R299" s="12">
        <f t="shared" si="21"/>
        <v>7.1377587437540556E-4</v>
      </c>
      <c r="S299">
        <v>159.6</v>
      </c>
      <c r="T299">
        <v>150.69999999999999</v>
      </c>
      <c r="U299">
        <v>144.5</v>
      </c>
      <c r="V299">
        <v>149.80000000000001</v>
      </c>
      <c r="W299" t="s">
        <v>31</v>
      </c>
      <c r="X299">
        <v>149.69999999999999</v>
      </c>
      <c r="Y299" s="12">
        <f t="shared" si="22"/>
        <v>0.13237518910741303</v>
      </c>
      <c r="Z299">
        <v>147.5</v>
      </c>
      <c r="AA299">
        <v>144.80000000000001</v>
      </c>
      <c r="AB299" s="12">
        <f t="shared" si="23"/>
        <v>0.10281797410510281</v>
      </c>
      <c r="AC299">
        <v>130.80000000000001</v>
      </c>
      <c r="AD299">
        <v>140.1</v>
      </c>
      <c r="AE299">
        <v>148</v>
      </c>
      <c r="AF299">
        <v>134.4</v>
      </c>
      <c r="AG299">
        <v>139.80000000000001</v>
      </c>
      <c r="AH299">
        <v>142.19999999999999</v>
      </c>
      <c r="AI299" t="str">
        <f t="shared" si="24"/>
        <v>No</v>
      </c>
    </row>
    <row r="300" spans="1:35" x14ac:dyDescent="0.25">
      <c r="A300" t="s">
        <v>32</v>
      </c>
      <c r="B300">
        <v>2018</v>
      </c>
      <c r="C300">
        <v>10</v>
      </c>
      <c r="D300" s="13">
        <f t="shared" si="20"/>
        <v>43374</v>
      </c>
      <c r="E300">
        <v>137.6</v>
      </c>
      <c r="F300">
        <v>144.9</v>
      </c>
      <c r="G300">
        <v>133.5</v>
      </c>
      <c r="H300">
        <v>141.5</v>
      </c>
      <c r="I300">
        <v>118</v>
      </c>
      <c r="J300">
        <v>139.5</v>
      </c>
      <c r="K300">
        <v>153</v>
      </c>
      <c r="L300">
        <v>113.2</v>
      </c>
      <c r="M300">
        <v>112.8</v>
      </c>
      <c r="N300">
        <v>141.1</v>
      </c>
      <c r="O300">
        <v>127.6</v>
      </c>
      <c r="P300">
        <v>152</v>
      </c>
      <c r="Q300">
        <v>139.4</v>
      </c>
      <c r="R300" s="12">
        <f t="shared" si="21"/>
        <v>-5.7061340941510913E-3</v>
      </c>
      <c r="S300">
        <v>164</v>
      </c>
      <c r="T300">
        <v>141.5</v>
      </c>
      <c r="U300">
        <v>129.80000000000001</v>
      </c>
      <c r="V300">
        <v>139.69999999999999</v>
      </c>
      <c r="W300">
        <v>146.30000000000001</v>
      </c>
      <c r="X300">
        <v>133.4</v>
      </c>
      <c r="Y300" s="12">
        <f t="shared" si="22"/>
        <v>-0.10888443553774205</v>
      </c>
      <c r="Z300">
        <v>135.1</v>
      </c>
      <c r="AA300">
        <v>136.19999999999999</v>
      </c>
      <c r="AB300" s="12">
        <f t="shared" si="23"/>
        <v>-5.9392265193370319E-2</v>
      </c>
      <c r="AC300">
        <v>123.3</v>
      </c>
      <c r="AD300">
        <v>130.69999999999999</v>
      </c>
      <c r="AE300">
        <v>145.5</v>
      </c>
      <c r="AF300">
        <v>130.4</v>
      </c>
      <c r="AG300">
        <v>132.5</v>
      </c>
      <c r="AH300">
        <v>138.9</v>
      </c>
      <c r="AI300" t="str">
        <f t="shared" si="24"/>
        <v>No</v>
      </c>
    </row>
    <row r="301" spans="1:35" x14ac:dyDescent="0.25">
      <c r="A301" t="s">
        <v>33</v>
      </c>
      <c r="B301">
        <v>2018</v>
      </c>
      <c r="C301">
        <v>10</v>
      </c>
      <c r="D301" s="13">
        <f t="shared" si="20"/>
        <v>43374</v>
      </c>
      <c r="E301">
        <v>137.4</v>
      </c>
      <c r="F301">
        <v>149.5</v>
      </c>
      <c r="G301">
        <v>137.30000000000001</v>
      </c>
      <c r="H301">
        <v>141.9</v>
      </c>
      <c r="I301">
        <v>121.1</v>
      </c>
      <c r="J301">
        <v>142.5</v>
      </c>
      <c r="K301">
        <v>146.69999999999999</v>
      </c>
      <c r="L301">
        <v>119.1</v>
      </c>
      <c r="M301">
        <v>111.9</v>
      </c>
      <c r="N301">
        <v>141</v>
      </c>
      <c r="O301">
        <v>133.6</v>
      </c>
      <c r="P301">
        <v>154.5</v>
      </c>
      <c r="Q301">
        <v>139.69999999999999</v>
      </c>
      <c r="R301" s="12">
        <f t="shared" si="21"/>
        <v>2.1520803443327327E-3</v>
      </c>
      <c r="S301">
        <v>162.6</v>
      </c>
      <c r="T301">
        <v>148</v>
      </c>
      <c r="U301">
        <v>139.19999999999999</v>
      </c>
      <c r="V301">
        <v>146.80000000000001</v>
      </c>
      <c r="W301">
        <v>146.9</v>
      </c>
      <c r="X301">
        <v>145.30000000000001</v>
      </c>
      <c r="Y301" s="12">
        <f t="shared" si="22"/>
        <v>8.9205397301349368E-2</v>
      </c>
      <c r="Z301">
        <v>142.19999999999999</v>
      </c>
      <c r="AA301">
        <v>142.1</v>
      </c>
      <c r="AB301" s="12">
        <f t="shared" si="23"/>
        <v>4.3318649045521337E-2</v>
      </c>
      <c r="AC301">
        <v>125.5</v>
      </c>
      <c r="AD301">
        <v>136.5</v>
      </c>
      <c r="AE301">
        <v>147.80000000000001</v>
      </c>
      <c r="AF301">
        <v>132</v>
      </c>
      <c r="AG301">
        <v>136.30000000000001</v>
      </c>
      <c r="AH301">
        <v>140.80000000000001</v>
      </c>
      <c r="AI301" t="str">
        <f t="shared" si="24"/>
        <v>No</v>
      </c>
    </row>
    <row r="302" spans="1:35" x14ac:dyDescent="0.25">
      <c r="A302" t="s">
        <v>30</v>
      </c>
      <c r="B302">
        <v>2019</v>
      </c>
      <c r="C302">
        <v>10</v>
      </c>
      <c r="D302" s="13">
        <f t="shared" si="20"/>
        <v>43739</v>
      </c>
      <c r="E302">
        <v>141</v>
      </c>
      <c r="F302">
        <v>161.6</v>
      </c>
      <c r="G302">
        <v>141.19999999999999</v>
      </c>
      <c r="H302">
        <v>146.5</v>
      </c>
      <c r="I302">
        <v>125.6</v>
      </c>
      <c r="J302">
        <v>145.69999999999999</v>
      </c>
      <c r="K302">
        <v>178.8</v>
      </c>
      <c r="L302">
        <v>133.1</v>
      </c>
      <c r="M302">
        <v>113.6</v>
      </c>
      <c r="N302">
        <v>145.5</v>
      </c>
      <c r="O302">
        <v>138.6</v>
      </c>
      <c r="P302">
        <v>157.4</v>
      </c>
      <c r="Q302">
        <v>148.30000000000001</v>
      </c>
      <c r="R302" s="12">
        <f t="shared" si="21"/>
        <v>6.1560486757337315E-2</v>
      </c>
      <c r="S302">
        <v>166.3</v>
      </c>
      <c r="T302">
        <v>151.69999999999999</v>
      </c>
      <c r="U302">
        <v>146.69999999999999</v>
      </c>
      <c r="V302">
        <v>151</v>
      </c>
      <c r="W302" t="s">
        <v>31</v>
      </c>
      <c r="X302">
        <v>147.69999999999999</v>
      </c>
      <c r="Y302" s="12">
        <f t="shared" si="22"/>
        <v>1.6517549896765155E-2</v>
      </c>
      <c r="Z302">
        <v>150.6</v>
      </c>
      <c r="AA302">
        <v>153.69999999999999</v>
      </c>
      <c r="AB302" s="12">
        <f t="shared" si="23"/>
        <v>8.1632653061224456E-2</v>
      </c>
      <c r="AC302">
        <v>131.69999999999999</v>
      </c>
      <c r="AD302">
        <v>148.69999999999999</v>
      </c>
      <c r="AE302">
        <v>160.69999999999999</v>
      </c>
      <c r="AF302">
        <v>140.30000000000001</v>
      </c>
      <c r="AG302">
        <v>145.69999999999999</v>
      </c>
      <c r="AH302">
        <v>148.30000000000001</v>
      </c>
      <c r="AI302" t="str">
        <f t="shared" si="24"/>
        <v>No</v>
      </c>
    </row>
    <row r="303" spans="1:35" x14ac:dyDescent="0.25">
      <c r="A303" t="s">
        <v>32</v>
      </c>
      <c r="B303">
        <v>2019</v>
      </c>
      <c r="C303">
        <v>10</v>
      </c>
      <c r="D303" s="13">
        <f t="shared" si="20"/>
        <v>43739</v>
      </c>
      <c r="E303">
        <v>143.5</v>
      </c>
      <c r="F303">
        <v>159.80000000000001</v>
      </c>
      <c r="G303">
        <v>144.69999999999999</v>
      </c>
      <c r="H303">
        <v>145.6</v>
      </c>
      <c r="I303">
        <v>121.1</v>
      </c>
      <c r="J303">
        <v>150.6</v>
      </c>
      <c r="K303">
        <v>207.2</v>
      </c>
      <c r="L303">
        <v>131.19999999999999</v>
      </c>
      <c r="M303">
        <v>114.8</v>
      </c>
      <c r="N303">
        <v>145.19999999999999</v>
      </c>
      <c r="O303">
        <v>130.19999999999999</v>
      </c>
      <c r="P303">
        <v>156.80000000000001</v>
      </c>
      <c r="Q303">
        <v>151.9</v>
      </c>
      <c r="R303" s="12">
        <f t="shared" si="21"/>
        <v>2.4275118004045814E-2</v>
      </c>
      <c r="S303">
        <v>169.3</v>
      </c>
      <c r="T303">
        <v>145.9</v>
      </c>
      <c r="U303">
        <v>132.4</v>
      </c>
      <c r="V303">
        <v>143.9</v>
      </c>
      <c r="W303">
        <v>153</v>
      </c>
      <c r="X303">
        <v>128.9</v>
      </c>
      <c r="Y303" s="12">
        <f t="shared" si="22"/>
        <v>-0.12728503723764376</v>
      </c>
      <c r="Z303">
        <v>138.69999999999999</v>
      </c>
      <c r="AA303">
        <v>142.4</v>
      </c>
      <c r="AB303" s="12">
        <f t="shared" si="23"/>
        <v>-7.3519843851658967E-2</v>
      </c>
      <c r="AC303">
        <v>121.5</v>
      </c>
      <c r="AD303">
        <v>136.19999999999999</v>
      </c>
      <c r="AE303">
        <v>151.69999999999999</v>
      </c>
      <c r="AF303">
        <v>139.5</v>
      </c>
      <c r="AG303">
        <v>136</v>
      </c>
      <c r="AH303">
        <v>146</v>
      </c>
      <c r="AI303" t="str">
        <f t="shared" si="24"/>
        <v>Yes</v>
      </c>
    </row>
    <row r="304" spans="1:35" x14ac:dyDescent="0.25">
      <c r="A304" t="s">
        <v>33</v>
      </c>
      <c r="B304">
        <v>2019</v>
      </c>
      <c r="C304">
        <v>10</v>
      </c>
      <c r="D304" s="13">
        <f t="shared" si="20"/>
        <v>43739</v>
      </c>
      <c r="E304">
        <v>141.80000000000001</v>
      </c>
      <c r="F304">
        <v>161</v>
      </c>
      <c r="G304">
        <v>142.6</v>
      </c>
      <c r="H304">
        <v>146.19999999999999</v>
      </c>
      <c r="I304">
        <v>123.9</v>
      </c>
      <c r="J304">
        <v>148</v>
      </c>
      <c r="K304">
        <v>188.4</v>
      </c>
      <c r="L304">
        <v>132.5</v>
      </c>
      <c r="M304">
        <v>114</v>
      </c>
      <c r="N304">
        <v>145.4</v>
      </c>
      <c r="O304">
        <v>135.1</v>
      </c>
      <c r="P304">
        <v>157.1</v>
      </c>
      <c r="Q304">
        <v>149.6</v>
      </c>
      <c r="R304" s="12">
        <f t="shared" si="21"/>
        <v>-1.5141540487162682E-2</v>
      </c>
      <c r="S304">
        <v>167.1</v>
      </c>
      <c r="T304">
        <v>149.4</v>
      </c>
      <c r="U304">
        <v>140.80000000000001</v>
      </c>
      <c r="V304">
        <v>148.19999999999999</v>
      </c>
      <c r="W304">
        <v>153</v>
      </c>
      <c r="X304">
        <v>140.6</v>
      </c>
      <c r="Y304" s="12">
        <f t="shared" si="22"/>
        <v>9.0768037238169036E-2</v>
      </c>
      <c r="Z304">
        <v>145</v>
      </c>
      <c r="AA304">
        <v>149.4</v>
      </c>
      <c r="AB304" s="12">
        <f t="shared" si="23"/>
        <v>4.9157303370786512E-2</v>
      </c>
      <c r="AC304">
        <v>126.3</v>
      </c>
      <c r="AD304">
        <v>141.69999999999999</v>
      </c>
      <c r="AE304">
        <v>155.4</v>
      </c>
      <c r="AF304">
        <v>140</v>
      </c>
      <c r="AG304">
        <v>141</v>
      </c>
      <c r="AH304">
        <v>147.19999999999999</v>
      </c>
      <c r="AI304" t="str">
        <f t="shared" si="24"/>
        <v>No</v>
      </c>
    </row>
    <row r="305" spans="1:35" x14ac:dyDescent="0.25">
      <c r="A305" t="s">
        <v>30</v>
      </c>
      <c r="B305">
        <v>2020</v>
      </c>
      <c r="C305">
        <v>10</v>
      </c>
      <c r="D305" s="13">
        <f t="shared" si="20"/>
        <v>44105</v>
      </c>
      <c r="E305">
        <v>146</v>
      </c>
      <c r="F305">
        <v>186.3</v>
      </c>
      <c r="G305">
        <v>159.19999999999999</v>
      </c>
      <c r="H305">
        <v>153.6</v>
      </c>
      <c r="I305">
        <v>142.6</v>
      </c>
      <c r="J305">
        <v>147.19999999999999</v>
      </c>
      <c r="K305">
        <v>200.6</v>
      </c>
      <c r="L305">
        <v>150.30000000000001</v>
      </c>
      <c r="M305">
        <v>115.3</v>
      </c>
      <c r="N305">
        <v>160.9</v>
      </c>
      <c r="O305">
        <v>147.4</v>
      </c>
      <c r="P305">
        <v>161.9</v>
      </c>
      <c r="Q305">
        <v>159.6</v>
      </c>
      <c r="R305" s="12">
        <f t="shared" si="21"/>
        <v>6.684491978609626E-2</v>
      </c>
      <c r="S305">
        <v>182.7</v>
      </c>
      <c r="T305">
        <v>155.69999999999999</v>
      </c>
      <c r="U305">
        <v>150.6</v>
      </c>
      <c r="V305">
        <v>155</v>
      </c>
      <c r="W305" t="s">
        <v>31</v>
      </c>
      <c r="X305">
        <v>146.80000000000001</v>
      </c>
      <c r="Y305" s="12">
        <f t="shared" si="22"/>
        <v>4.4096728307254744E-2</v>
      </c>
      <c r="Z305">
        <v>152</v>
      </c>
      <c r="AA305">
        <v>159.5</v>
      </c>
      <c r="AB305" s="12">
        <f t="shared" si="23"/>
        <v>6.7603748326639845E-2</v>
      </c>
      <c r="AC305">
        <v>146.4</v>
      </c>
      <c r="AD305">
        <v>152.4</v>
      </c>
      <c r="AE305">
        <v>162.5</v>
      </c>
      <c r="AF305">
        <v>156.19999999999999</v>
      </c>
      <c r="AG305">
        <v>154.30000000000001</v>
      </c>
      <c r="AH305">
        <v>157.5</v>
      </c>
      <c r="AI305" t="str">
        <f t="shared" si="24"/>
        <v>No</v>
      </c>
    </row>
    <row r="306" spans="1:35" x14ac:dyDescent="0.25">
      <c r="A306" t="s">
        <v>32</v>
      </c>
      <c r="B306">
        <v>2020</v>
      </c>
      <c r="C306">
        <v>10</v>
      </c>
      <c r="D306" s="13">
        <f t="shared" si="20"/>
        <v>44105</v>
      </c>
      <c r="E306">
        <v>150.6</v>
      </c>
      <c r="F306">
        <v>193.7</v>
      </c>
      <c r="G306">
        <v>164.8</v>
      </c>
      <c r="H306">
        <v>153.69999999999999</v>
      </c>
      <c r="I306">
        <v>135.69999999999999</v>
      </c>
      <c r="J306">
        <v>155.69999999999999</v>
      </c>
      <c r="K306">
        <v>226</v>
      </c>
      <c r="L306">
        <v>152.19999999999999</v>
      </c>
      <c r="M306">
        <v>118.1</v>
      </c>
      <c r="N306">
        <v>161.30000000000001</v>
      </c>
      <c r="O306">
        <v>139.19999999999999</v>
      </c>
      <c r="P306">
        <v>164.8</v>
      </c>
      <c r="Q306">
        <v>164.4</v>
      </c>
      <c r="R306" s="12">
        <f t="shared" si="21"/>
        <v>3.0075187969924883E-2</v>
      </c>
      <c r="S306">
        <v>188.7</v>
      </c>
      <c r="T306">
        <v>150.5</v>
      </c>
      <c r="U306">
        <v>136.1</v>
      </c>
      <c r="V306">
        <v>148.30000000000001</v>
      </c>
      <c r="W306">
        <v>156.5</v>
      </c>
      <c r="X306">
        <v>137.1</v>
      </c>
      <c r="Y306" s="12">
        <f t="shared" si="22"/>
        <v>-6.6076294277929271E-2</v>
      </c>
      <c r="Z306">
        <v>145.1</v>
      </c>
      <c r="AA306">
        <v>151</v>
      </c>
      <c r="AB306" s="12">
        <f t="shared" si="23"/>
        <v>-5.329153605015674E-2</v>
      </c>
      <c r="AC306">
        <v>135.4</v>
      </c>
      <c r="AD306">
        <v>142</v>
      </c>
      <c r="AE306">
        <v>155.69999999999999</v>
      </c>
      <c r="AF306">
        <v>158.1</v>
      </c>
      <c r="AG306">
        <v>146.19999999999999</v>
      </c>
      <c r="AH306">
        <v>155.19999999999999</v>
      </c>
      <c r="AI306" t="str">
        <f t="shared" si="24"/>
        <v>Yes</v>
      </c>
    </row>
    <row r="307" spans="1:35" x14ac:dyDescent="0.25">
      <c r="A307" t="s">
        <v>33</v>
      </c>
      <c r="B307">
        <v>2020</v>
      </c>
      <c r="C307">
        <v>10</v>
      </c>
      <c r="D307" s="13">
        <f t="shared" si="20"/>
        <v>44105</v>
      </c>
      <c r="E307">
        <v>147.5</v>
      </c>
      <c r="F307">
        <v>188.9</v>
      </c>
      <c r="G307">
        <v>161.4</v>
      </c>
      <c r="H307">
        <v>153.6</v>
      </c>
      <c r="I307">
        <v>140.1</v>
      </c>
      <c r="J307">
        <v>151.19999999999999</v>
      </c>
      <c r="K307">
        <v>209.2</v>
      </c>
      <c r="L307">
        <v>150.9</v>
      </c>
      <c r="M307">
        <v>116.2</v>
      </c>
      <c r="N307">
        <v>161</v>
      </c>
      <c r="O307">
        <v>144</v>
      </c>
      <c r="P307">
        <v>163.19999999999999</v>
      </c>
      <c r="Q307">
        <v>161.4</v>
      </c>
      <c r="R307" s="12">
        <f t="shared" si="21"/>
        <v>-1.824817518248175E-2</v>
      </c>
      <c r="S307">
        <v>184.3</v>
      </c>
      <c r="T307">
        <v>153.69999999999999</v>
      </c>
      <c r="U307">
        <v>144.6</v>
      </c>
      <c r="V307">
        <v>152.30000000000001</v>
      </c>
      <c r="W307">
        <v>156.5</v>
      </c>
      <c r="X307">
        <v>143.1</v>
      </c>
      <c r="Y307" s="12">
        <f t="shared" si="22"/>
        <v>4.3763676148796497E-2</v>
      </c>
      <c r="Z307">
        <v>148.69999999999999</v>
      </c>
      <c r="AA307">
        <v>156.30000000000001</v>
      </c>
      <c r="AB307" s="12">
        <f t="shared" si="23"/>
        <v>3.5099337748344443E-2</v>
      </c>
      <c r="AC307">
        <v>140.6</v>
      </c>
      <c r="AD307">
        <v>146.5</v>
      </c>
      <c r="AE307">
        <v>158.5</v>
      </c>
      <c r="AF307">
        <v>157</v>
      </c>
      <c r="AG307">
        <v>150.4</v>
      </c>
      <c r="AH307">
        <v>156.4</v>
      </c>
      <c r="AI307" t="str">
        <f t="shared" si="24"/>
        <v>Yes</v>
      </c>
    </row>
    <row r="308" spans="1:35" x14ac:dyDescent="0.25">
      <c r="A308" t="s">
        <v>30</v>
      </c>
      <c r="B308">
        <v>2021</v>
      </c>
      <c r="C308">
        <v>10</v>
      </c>
      <c r="D308" s="13">
        <f t="shared" si="20"/>
        <v>44470</v>
      </c>
      <c r="E308">
        <v>146.1</v>
      </c>
      <c r="F308">
        <v>202.5</v>
      </c>
      <c r="G308">
        <v>170.1</v>
      </c>
      <c r="H308">
        <v>158.4</v>
      </c>
      <c r="I308">
        <v>198.8</v>
      </c>
      <c r="J308">
        <v>152.6</v>
      </c>
      <c r="K308">
        <v>170.4</v>
      </c>
      <c r="L308">
        <v>165.2</v>
      </c>
      <c r="M308">
        <v>121.6</v>
      </c>
      <c r="N308">
        <v>170.6</v>
      </c>
      <c r="O308">
        <v>168.8</v>
      </c>
      <c r="P308">
        <v>173.6</v>
      </c>
      <c r="Q308">
        <v>165.5</v>
      </c>
      <c r="R308" s="12">
        <f t="shared" si="21"/>
        <v>2.5402726146220533E-2</v>
      </c>
      <c r="S308">
        <v>191.2</v>
      </c>
      <c r="T308">
        <v>168.9</v>
      </c>
      <c r="U308">
        <v>164.8</v>
      </c>
      <c r="V308">
        <v>168.3</v>
      </c>
      <c r="W308" t="s">
        <v>31</v>
      </c>
      <c r="X308">
        <v>165.5</v>
      </c>
      <c r="Y308" s="12">
        <f t="shared" si="22"/>
        <v>0.15653389238294904</v>
      </c>
      <c r="Z308">
        <v>162</v>
      </c>
      <c r="AA308">
        <v>172.5</v>
      </c>
      <c r="AB308" s="12">
        <f t="shared" si="23"/>
        <v>0.10364683301343562</v>
      </c>
      <c r="AC308">
        <v>159.5</v>
      </c>
      <c r="AD308">
        <v>163.19999999999999</v>
      </c>
      <c r="AE308">
        <v>169</v>
      </c>
      <c r="AF308">
        <v>161.1</v>
      </c>
      <c r="AG308">
        <v>164.7</v>
      </c>
      <c r="AH308">
        <v>166.3</v>
      </c>
      <c r="AI308" t="str">
        <f t="shared" si="24"/>
        <v>Yes</v>
      </c>
    </row>
    <row r="309" spans="1:35" x14ac:dyDescent="0.25">
      <c r="A309" t="s">
        <v>32</v>
      </c>
      <c r="B309">
        <v>2021</v>
      </c>
      <c r="C309">
        <v>10</v>
      </c>
      <c r="D309" s="13">
        <f t="shared" si="20"/>
        <v>44470</v>
      </c>
      <c r="E309">
        <v>150.1</v>
      </c>
      <c r="F309">
        <v>208.4</v>
      </c>
      <c r="G309">
        <v>173</v>
      </c>
      <c r="H309">
        <v>159.19999999999999</v>
      </c>
      <c r="I309">
        <v>176.6</v>
      </c>
      <c r="J309">
        <v>159.30000000000001</v>
      </c>
      <c r="K309">
        <v>214.4</v>
      </c>
      <c r="L309">
        <v>165.3</v>
      </c>
      <c r="M309">
        <v>122.5</v>
      </c>
      <c r="N309">
        <v>166.8</v>
      </c>
      <c r="O309">
        <v>155.4</v>
      </c>
      <c r="P309">
        <v>175.9</v>
      </c>
      <c r="Q309">
        <v>171.5</v>
      </c>
      <c r="R309" s="12">
        <f t="shared" si="21"/>
        <v>3.6253776435045321E-2</v>
      </c>
      <c r="S309">
        <v>197</v>
      </c>
      <c r="T309">
        <v>160.80000000000001</v>
      </c>
      <c r="U309">
        <v>144.4</v>
      </c>
      <c r="V309">
        <v>158.30000000000001</v>
      </c>
      <c r="W309">
        <v>163.6</v>
      </c>
      <c r="X309">
        <v>162.19999999999999</v>
      </c>
      <c r="Y309" s="12">
        <f t="shared" si="22"/>
        <v>-1.9939577039274993E-2</v>
      </c>
      <c r="Z309">
        <v>154.30000000000001</v>
      </c>
      <c r="AA309">
        <v>163.5</v>
      </c>
      <c r="AB309" s="12">
        <f t="shared" si="23"/>
        <v>-5.2173913043478258E-2</v>
      </c>
      <c r="AC309">
        <v>152.19999999999999</v>
      </c>
      <c r="AD309">
        <v>155.1</v>
      </c>
      <c r="AE309">
        <v>160.30000000000001</v>
      </c>
      <c r="AF309">
        <v>160.30000000000001</v>
      </c>
      <c r="AG309">
        <v>157</v>
      </c>
      <c r="AH309">
        <v>164.6</v>
      </c>
      <c r="AI309" t="str">
        <f t="shared" si="24"/>
        <v>Yes</v>
      </c>
    </row>
    <row r="310" spans="1:35" x14ac:dyDescent="0.25">
      <c r="A310" t="s">
        <v>33</v>
      </c>
      <c r="B310">
        <v>2021</v>
      </c>
      <c r="C310">
        <v>10</v>
      </c>
      <c r="D310" s="13">
        <f t="shared" si="20"/>
        <v>44470</v>
      </c>
      <c r="E310">
        <v>147.4</v>
      </c>
      <c r="F310">
        <v>204.6</v>
      </c>
      <c r="G310">
        <v>171.2</v>
      </c>
      <c r="H310">
        <v>158.69999999999999</v>
      </c>
      <c r="I310">
        <v>190.6</v>
      </c>
      <c r="J310">
        <v>155.69999999999999</v>
      </c>
      <c r="K310">
        <v>185.3</v>
      </c>
      <c r="L310">
        <v>165.2</v>
      </c>
      <c r="M310">
        <v>121.9</v>
      </c>
      <c r="N310">
        <v>169.3</v>
      </c>
      <c r="O310">
        <v>163.19999999999999</v>
      </c>
      <c r="P310">
        <v>174.7</v>
      </c>
      <c r="Q310">
        <v>167.7</v>
      </c>
      <c r="R310" s="12">
        <f t="shared" si="21"/>
        <v>-2.2157434402332428E-2</v>
      </c>
      <c r="S310">
        <v>192.7</v>
      </c>
      <c r="T310">
        <v>165.7</v>
      </c>
      <c r="U310">
        <v>156.30000000000001</v>
      </c>
      <c r="V310">
        <v>164.3</v>
      </c>
      <c r="W310">
        <v>163.6</v>
      </c>
      <c r="X310">
        <v>164.2</v>
      </c>
      <c r="Y310" s="12">
        <f t="shared" si="22"/>
        <v>1.2330456226880395E-2</v>
      </c>
      <c r="Z310">
        <v>158.4</v>
      </c>
      <c r="AA310">
        <v>169.1</v>
      </c>
      <c r="AB310" s="12">
        <f t="shared" si="23"/>
        <v>3.4250764525993849E-2</v>
      </c>
      <c r="AC310">
        <v>155.69999999999999</v>
      </c>
      <c r="AD310">
        <v>158.6</v>
      </c>
      <c r="AE310">
        <v>163.9</v>
      </c>
      <c r="AF310">
        <v>160.80000000000001</v>
      </c>
      <c r="AG310">
        <v>161</v>
      </c>
      <c r="AH310">
        <v>165.5</v>
      </c>
      <c r="AI310" t="str">
        <f t="shared" si="24"/>
        <v>Yes</v>
      </c>
    </row>
    <row r="311" spans="1:35" x14ac:dyDescent="0.25">
      <c r="A311" t="s">
        <v>30</v>
      </c>
      <c r="B311">
        <v>2022</v>
      </c>
      <c r="C311">
        <v>10</v>
      </c>
      <c r="D311" s="13">
        <f t="shared" si="20"/>
        <v>44835</v>
      </c>
      <c r="E311">
        <v>164.7</v>
      </c>
      <c r="F311">
        <v>208.8</v>
      </c>
      <c r="G311">
        <v>170.3</v>
      </c>
      <c r="H311">
        <v>170.9</v>
      </c>
      <c r="I311">
        <v>191.6</v>
      </c>
      <c r="J311">
        <v>162.19999999999999</v>
      </c>
      <c r="K311">
        <v>184.8</v>
      </c>
      <c r="L311">
        <v>169.7</v>
      </c>
      <c r="M311">
        <v>121.1</v>
      </c>
      <c r="N311">
        <v>201.6</v>
      </c>
      <c r="O311">
        <v>175.8</v>
      </c>
      <c r="P311">
        <v>185.6</v>
      </c>
      <c r="Q311">
        <v>177.4</v>
      </c>
      <c r="R311" s="12">
        <f t="shared" si="21"/>
        <v>5.7841383422778878E-2</v>
      </c>
      <c r="S311">
        <v>194.9</v>
      </c>
      <c r="T311">
        <v>186.1</v>
      </c>
      <c r="U311">
        <v>184.4</v>
      </c>
      <c r="V311">
        <v>185.9</v>
      </c>
      <c r="W311" t="s">
        <v>31</v>
      </c>
      <c r="X311">
        <v>180.8</v>
      </c>
      <c r="Y311" s="12">
        <f t="shared" si="22"/>
        <v>0.10109622411693071</v>
      </c>
      <c r="Z311">
        <v>174.4</v>
      </c>
      <c r="AA311">
        <v>181.2</v>
      </c>
      <c r="AB311" s="12">
        <f t="shared" si="23"/>
        <v>7.1555292726197484E-2</v>
      </c>
      <c r="AC311">
        <v>167.4</v>
      </c>
      <c r="AD311">
        <v>170.6</v>
      </c>
      <c r="AE311">
        <v>176.5</v>
      </c>
      <c r="AF311">
        <v>172</v>
      </c>
      <c r="AG311">
        <v>173.9</v>
      </c>
      <c r="AH311">
        <v>177.9</v>
      </c>
      <c r="AI311" t="str">
        <f t="shared" si="24"/>
        <v>Yes</v>
      </c>
    </row>
    <row r="312" spans="1:35" x14ac:dyDescent="0.25">
      <c r="A312" t="s">
        <v>32</v>
      </c>
      <c r="B312">
        <v>2022</v>
      </c>
      <c r="C312">
        <v>10</v>
      </c>
      <c r="D312" s="13">
        <f t="shared" si="20"/>
        <v>44835</v>
      </c>
      <c r="E312">
        <v>166.4</v>
      </c>
      <c r="F312">
        <v>214.9</v>
      </c>
      <c r="G312">
        <v>171.9</v>
      </c>
      <c r="H312">
        <v>171</v>
      </c>
      <c r="I312">
        <v>177.7</v>
      </c>
      <c r="J312">
        <v>165.7</v>
      </c>
      <c r="K312">
        <v>228.6</v>
      </c>
      <c r="L312">
        <v>169.9</v>
      </c>
      <c r="M312">
        <v>123.4</v>
      </c>
      <c r="N312">
        <v>196.4</v>
      </c>
      <c r="O312">
        <v>161.6</v>
      </c>
      <c r="P312">
        <v>191.5</v>
      </c>
      <c r="Q312">
        <v>183.3</v>
      </c>
      <c r="R312" s="12">
        <f t="shared" si="21"/>
        <v>3.3258173618940276E-2</v>
      </c>
      <c r="S312">
        <v>200.1</v>
      </c>
      <c r="T312">
        <v>175.5</v>
      </c>
      <c r="U312">
        <v>162.6</v>
      </c>
      <c r="V312">
        <v>173.6</v>
      </c>
      <c r="W312">
        <v>171.2</v>
      </c>
      <c r="X312">
        <v>180</v>
      </c>
      <c r="Y312" s="12">
        <f t="shared" si="22"/>
        <v>-4.4247787610620093E-3</v>
      </c>
      <c r="Z312">
        <v>166</v>
      </c>
      <c r="AA312">
        <v>174.7</v>
      </c>
      <c r="AB312" s="12">
        <f t="shared" si="23"/>
        <v>-3.5871964679911703E-2</v>
      </c>
      <c r="AC312">
        <v>158.80000000000001</v>
      </c>
      <c r="AD312">
        <v>166.3</v>
      </c>
      <c r="AE312">
        <v>171.2</v>
      </c>
      <c r="AF312">
        <v>172.3</v>
      </c>
      <c r="AG312">
        <v>166.8</v>
      </c>
      <c r="AH312">
        <v>175.3</v>
      </c>
      <c r="AI312" t="str">
        <f t="shared" si="24"/>
        <v>Yes</v>
      </c>
    </row>
    <row r="313" spans="1:35" x14ac:dyDescent="0.25">
      <c r="A313" t="s">
        <v>33</v>
      </c>
      <c r="B313">
        <v>2022</v>
      </c>
      <c r="C313">
        <v>10</v>
      </c>
      <c r="D313" s="13">
        <f t="shared" si="20"/>
        <v>44835</v>
      </c>
      <c r="E313">
        <v>165.2</v>
      </c>
      <c r="F313">
        <v>210.9</v>
      </c>
      <c r="G313">
        <v>170.9</v>
      </c>
      <c r="H313">
        <v>170.9</v>
      </c>
      <c r="I313">
        <v>186.5</v>
      </c>
      <c r="J313">
        <v>163.80000000000001</v>
      </c>
      <c r="K313">
        <v>199.7</v>
      </c>
      <c r="L313">
        <v>169.8</v>
      </c>
      <c r="M313">
        <v>121.9</v>
      </c>
      <c r="N313">
        <v>199.9</v>
      </c>
      <c r="O313">
        <v>169.9</v>
      </c>
      <c r="P313">
        <v>188.3</v>
      </c>
      <c r="Q313">
        <v>179.6</v>
      </c>
      <c r="R313" s="12">
        <f t="shared" si="21"/>
        <v>-2.0185488270594746E-2</v>
      </c>
      <c r="S313">
        <v>196.3</v>
      </c>
      <c r="T313">
        <v>181.9</v>
      </c>
      <c r="U313">
        <v>175.3</v>
      </c>
      <c r="V313">
        <v>181</v>
      </c>
      <c r="W313">
        <v>171.2</v>
      </c>
      <c r="X313">
        <v>180.5</v>
      </c>
      <c r="Y313" s="12">
        <f t="shared" si="22"/>
        <v>2.7777777777777779E-3</v>
      </c>
      <c r="Z313">
        <v>170.4</v>
      </c>
      <c r="AA313">
        <v>178.7</v>
      </c>
      <c r="AB313" s="12">
        <f t="shared" si="23"/>
        <v>2.2896393817973669E-2</v>
      </c>
      <c r="AC313">
        <v>162.9</v>
      </c>
      <c r="AD313">
        <v>168.2</v>
      </c>
      <c r="AE313">
        <v>173.4</v>
      </c>
      <c r="AF313">
        <v>172.1</v>
      </c>
      <c r="AG313">
        <v>170.5</v>
      </c>
      <c r="AH313">
        <v>176.7</v>
      </c>
      <c r="AI313" t="str">
        <f t="shared" si="24"/>
        <v>Yes</v>
      </c>
    </row>
    <row r="314" spans="1:35" x14ac:dyDescent="0.25">
      <c r="A314" t="s">
        <v>30</v>
      </c>
      <c r="B314">
        <v>2013</v>
      </c>
      <c r="C314">
        <v>11</v>
      </c>
      <c r="D314" s="13">
        <f t="shared" si="20"/>
        <v>41579</v>
      </c>
      <c r="E314">
        <v>117.3</v>
      </c>
      <c r="F314">
        <v>114.9</v>
      </c>
      <c r="G314">
        <v>116.2</v>
      </c>
      <c r="H314">
        <v>112.8</v>
      </c>
      <c r="I314">
        <v>108.9</v>
      </c>
      <c r="J314">
        <v>116.6</v>
      </c>
      <c r="K314">
        <v>178.1</v>
      </c>
      <c r="L314">
        <v>109.1</v>
      </c>
      <c r="M314">
        <v>103.6</v>
      </c>
      <c r="N314">
        <v>109</v>
      </c>
      <c r="O314">
        <v>111.8</v>
      </c>
      <c r="P314">
        <v>116</v>
      </c>
      <c r="Q314">
        <v>122.5</v>
      </c>
      <c r="R314" s="12">
        <f t="shared" si="21"/>
        <v>-0.3179287305122494</v>
      </c>
      <c r="S314">
        <v>112.8</v>
      </c>
      <c r="T314">
        <v>114.6</v>
      </c>
      <c r="U314">
        <v>113.1</v>
      </c>
      <c r="V314">
        <v>114.4</v>
      </c>
      <c r="W314" t="s">
        <v>31</v>
      </c>
      <c r="X314">
        <v>112.6</v>
      </c>
      <c r="Y314" s="12">
        <f t="shared" si="22"/>
        <v>-0.3761772853185596</v>
      </c>
      <c r="Z314">
        <v>111.3</v>
      </c>
      <c r="AA314">
        <v>109.7</v>
      </c>
      <c r="AB314" s="12">
        <f t="shared" si="23"/>
        <v>-0.38612199216564069</v>
      </c>
      <c r="AC314">
        <v>109.6</v>
      </c>
      <c r="AD314">
        <v>108.7</v>
      </c>
      <c r="AE314">
        <v>111</v>
      </c>
      <c r="AF314">
        <v>108.2</v>
      </c>
      <c r="AG314">
        <v>109.8</v>
      </c>
      <c r="AH314">
        <v>117.4</v>
      </c>
      <c r="AI314" t="str">
        <f t="shared" si="24"/>
        <v>No</v>
      </c>
    </row>
    <row r="315" spans="1:35" x14ac:dyDescent="0.25">
      <c r="A315" t="s">
        <v>32</v>
      </c>
      <c r="B315">
        <v>2013</v>
      </c>
      <c r="C315">
        <v>11</v>
      </c>
      <c r="D315" s="13">
        <f t="shared" si="20"/>
        <v>41579</v>
      </c>
      <c r="E315">
        <v>119.8</v>
      </c>
      <c r="F315">
        <v>116.3</v>
      </c>
      <c r="G315">
        <v>122.6</v>
      </c>
      <c r="H315">
        <v>112</v>
      </c>
      <c r="I315">
        <v>103.2</v>
      </c>
      <c r="J315">
        <v>110</v>
      </c>
      <c r="K315">
        <v>192.8</v>
      </c>
      <c r="L315">
        <v>106.3</v>
      </c>
      <c r="M315">
        <v>99.5</v>
      </c>
      <c r="N315">
        <v>110.3</v>
      </c>
      <c r="O315">
        <v>111.8</v>
      </c>
      <c r="P315">
        <v>117.1</v>
      </c>
      <c r="Q315">
        <v>122.9</v>
      </c>
      <c r="R315" s="12">
        <f t="shared" si="21"/>
        <v>3.2653061224490261E-3</v>
      </c>
      <c r="S315">
        <v>114.1</v>
      </c>
      <c r="T315">
        <v>113.5</v>
      </c>
      <c r="U315">
        <v>110.3</v>
      </c>
      <c r="V315">
        <v>113</v>
      </c>
      <c r="W315">
        <v>111.1</v>
      </c>
      <c r="X315">
        <v>110</v>
      </c>
      <c r="Y315" s="12">
        <f t="shared" si="22"/>
        <v>-2.3090586145648264E-2</v>
      </c>
      <c r="Z315">
        <v>110.9</v>
      </c>
      <c r="AA315">
        <v>108.6</v>
      </c>
      <c r="AB315" s="12">
        <f t="shared" si="23"/>
        <v>-1.0027347310847845E-2</v>
      </c>
      <c r="AC315">
        <v>109.5</v>
      </c>
      <c r="AD315">
        <v>108.5</v>
      </c>
      <c r="AE315">
        <v>111.3</v>
      </c>
      <c r="AF315">
        <v>107.9</v>
      </c>
      <c r="AG315">
        <v>109.6</v>
      </c>
      <c r="AH315">
        <v>115</v>
      </c>
      <c r="AI315" t="str">
        <f t="shared" si="24"/>
        <v>No</v>
      </c>
    </row>
    <row r="316" spans="1:35" x14ac:dyDescent="0.25">
      <c r="A316" t="s">
        <v>33</v>
      </c>
      <c r="B316">
        <v>2013</v>
      </c>
      <c r="C316">
        <v>11</v>
      </c>
      <c r="D316" s="13">
        <f t="shared" si="20"/>
        <v>41579</v>
      </c>
      <c r="E316">
        <v>118.1</v>
      </c>
      <c r="F316">
        <v>115.4</v>
      </c>
      <c r="G316">
        <v>118.7</v>
      </c>
      <c r="H316">
        <v>112.5</v>
      </c>
      <c r="I316">
        <v>106.8</v>
      </c>
      <c r="J316">
        <v>113.5</v>
      </c>
      <c r="K316">
        <v>183.1</v>
      </c>
      <c r="L316">
        <v>108.2</v>
      </c>
      <c r="M316">
        <v>102.2</v>
      </c>
      <c r="N316">
        <v>109.4</v>
      </c>
      <c r="O316">
        <v>111.8</v>
      </c>
      <c r="P316">
        <v>116.5</v>
      </c>
      <c r="Q316">
        <v>122.6</v>
      </c>
      <c r="R316" s="12">
        <f t="shared" si="21"/>
        <v>-2.4410089503662438E-3</v>
      </c>
      <c r="S316">
        <v>113.1</v>
      </c>
      <c r="T316">
        <v>114.2</v>
      </c>
      <c r="U316">
        <v>111.9</v>
      </c>
      <c r="V316">
        <v>113.8</v>
      </c>
      <c r="W316">
        <v>111.1</v>
      </c>
      <c r="X316">
        <v>111.6</v>
      </c>
      <c r="Y316" s="12">
        <f t="shared" si="22"/>
        <v>1.4545454545454493E-2</v>
      </c>
      <c r="Z316">
        <v>111.1</v>
      </c>
      <c r="AA316">
        <v>109.3</v>
      </c>
      <c r="AB316" s="12">
        <f t="shared" si="23"/>
        <v>6.445672191528572E-3</v>
      </c>
      <c r="AC316">
        <v>109.5</v>
      </c>
      <c r="AD316">
        <v>108.6</v>
      </c>
      <c r="AE316">
        <v>111.2</v>
      </c>
      <c r="AF316">
        <v>108.1</v>
      </c>
      <c r="AG316">
        <v>109.7</v>
      </c>
      <c r="AH316">
        <v>116.3</v>
      </c>
      <c r="AI316" t="str">
        <f t="shared" si="24"/>
        <v>No</v>
      </c>
    </row>
    <row r="317" spans="1:35" x14ac:dyDescent="0.25">
      <c r="A317" t="s">
        <v>30</v>
      </c>
      <c r="B317">
        <v>2014</v>
      </c>
      <c r="C317">
        <v>11</v>
      </c>
      <c r="D317" s="13">
        <f t="shared" si="20"/>
        <v>41944</v>
      </c>
      <c r="E317">
        <v>122.7</v>
      </c>
      <c r="F317">
        <v>122.6</v>
      </c>
      <c r="G317">
        <v>119.9</v>
      </c>
      <c r="H317">
        <v>124</v>
      </c>
      <c r="I317">
        <v>110.5</v>
      </c>
      <c r="J317">
        <v>128.80000000000001</v>
      </c>
      <c r="K317">
        <v>152</v>
      </c>
      <c r="L317">
        <v>116.2</v>
      </c>
      <c r="M317">
        <v>103.3</v>
      </c>
      <c r="N317">
        <v>115.8</v>
      </c>
      <c r="O317">
        <v>116.8</v>
      </c>
      <c r="P317">
        <v>124.5</v>
      </c>
      <c r="Q317">
        <v>124.9</v>
      </c>
      <c r="R317" s="12">
        <f t="shared" si="21"/>
        <v>1.8760195758564531E-2</v>
      </c>
      <c r="S317">
        <v>120.8</v>
      </c>
      <c r="T317">
        <v>123.3</v>
      </c>
      <c r="U317">
        <v>120.5</v>
      </c>
      <c r="V317">
        <v>122.9</v>
      </c>
      <c r="W317" t="s">
        <v>31</v>
      </c>
      <c r="X317">
        <v>117.3</v>
      </c>
      <c r="Y317" s="12">
        <f t="shared" si="22"/>
        <v>5.1075268817204332E-2</v>
      </c>
      <c r="Z317">
        <v>118.1</v>
      </c>
      <c r="AA317">
        <v>115.9</v>
      </c>
      <c r="AB317" s="12">
        <f t="shared" si="23"/>
        <v>6.038426349496806E-2</v>
      </c>
      <c r="AC317">
        <v>112</v>
      </c>
      <c r="AD317">
        <v>113.3</v>
      </c>
      <c r="AE317">
        <v>117.2</v>
      </c>
      <c r="AF317">
        <v>108.8</v>
      </c>
      <c r="AG317">
        <v>114.1</v>
      </c>
      <c r="AH317">
        <v>121.1</v>
      </c>
      <c r="AI317" t="str">
        <f t="shared" si="24"/>
        <v>No</v>
      </c>
    </row>
    <row r="318" spans="1:35" x14ac:dyDescent="0.25">
      <c r="A318" t="s">
        <v>32</v>
      </c>
      <c r="B318">
        <v>2014</v>
      </c>
      <c r="C318">
        <v>11</v>
      </c>
      <c r="D318" s="13">
        <f t="shared" si="20"/>
        <v>41944</v>
      </c>
      <c r="E318">
        <v>124.5</v>
      </c>
      <c r="F318">
        <v>125.6</v>
      </c>
      <c r="G318">
        <v>122.7</v>
      </c>
      <c r="H318">
        <v>124.6</v>
      </c>
      <c r="I318">
        <v>103.2</v>
      </c>
      <c r="J318">
        <v>122.2</v>
      </c>
      <c r="K318">
        <v>153.19999999999999</v>
      </c>
      <c r="L318">
        <v>119.3</v>
      </c>
      <c r="M318">
        <v>99.8</v>
      </c>
      <c r="N318">
        <v>124.6</v>
      </c>
      <c r="O318">
        <v>115.8</v>
      </c>
      <c r="P318">
        <v>126.9</v>
      </c>
      <c r="Q318">
        <v>125.4</v>
      </c>
      <c r="R318" s="12">
        <f t="shared" si="21"/>
        <v>4.0032025620496394E-3</v>
      </c>
      <c r="S318">
        <v>125.8</v>
      </c>
      <c r="T318">
        <v>120.3</v>
      </c>
      <c r="U318">
        <v>115.4</v>
      </c>
      <c r="V318">
        <v>119.5</v>
      </c>
      <c r="W318">
        <v>117.1</v>
      </c>
      <c r="X318">
        <v>112.6</v>
      </c>
      <c r="Y318" s="12">
        <f t="shared" si="22"/>
        <v>-4.0068201193520912E-2</v>
      </c>
      <c r="Z318">
        <v>116.4</v>
      </c>
      <c r="AA318">
        <v>113</v>
      </c>
      <c r="AB318" s="12">
        <f t="shared" si="23"/>
        <v>-2.5021570319240773E-2</v>
      </c>
      <c r="AC318">
        <v>109.7</v>
      </c>
      <c r="AD318">
        <v>114</v>
      </c>
      <c r="AE318">
        <v>120.3</v>
      </c>
      <c r="AF318">
        <v>109.6</v>
      </c>
      <c r="AG318">
        <v>113.4</v>
      </c>
      <c r="AH318">
        <v>119</v>
      </c>
      <c r="AI318" t="str">
        <f t="shared" si="24"/>
        <v>No</v>
      </c>
    </row>
    <row r="319" spans="1:35" x14ac:dyDescent="0.25">
      <c r="A319" t="s">
        <v>33</v>
      </c>
      <c r="B319">
        <v>2014</v>
      </c>
      <c r="C319">
        <v>11</v>
      </c>
      <c r="D319" s="13">
        <f t="shared" si="20"/>
        <v>41944</v>
      </c>
      <c r="E319">
        <v>123.3</v>
      </c>
      <c r="F319">
        <v>123.7</v>
      </c>
      <c r="G319">
        <v>121</v>
      </c>
      <c r="H319">
        <v>124.2</v>
      </c>
      <c r="I319">
        <v>107.8</v>
      </c>
      <c r="J319">
        <v>125.7</v>
      </c>
      <c r="K319">
        <v>152.4</v>
      </c>
      <c r="L319">
        <v>117.2</v>
      </c>
      <c r="M319">
        <v>102.1</v>
      </c>
      <c r="N319">
        <v>118.7</v>
      </c>
      <c r="O319">
        <v>116.4</v>
      </c>
      <c r="P319">
        <v>125.6</v>
      </c>
      <c r="Q319">
        <v>125.1</v>
      </c>
      <c r="R319" s="12">
        <f t="shared" si="21"/>
        <v>-2.392344497607746E-3</v>
      </c>
      <c r="S319">
        <v>122.1</v>
      </c>
      <c r="T319">
        <v>122.1</v>
      </c>
      <c r="U319">
        <v>118.4</v>
      </c>
      <c r="V319">
        <v>121.6</v>
      </c>
      <c r="W319">
        <v>117.1</v>
      </c>
      <c r="X319">
        <v>115.5</v>
      </c>
      <c r="Y319" s="12">
        <f t="shared" si="22"/>
        <v>2.5754884547069323E-2</v>
      </c>
      <c r="Z319">
        <v>117.3</v>
      </c>
      <c r="AA319">
        <v>114.8</v>
      </c>
      <c r="AB319" s="12">
        <f t="shared" si="23"/>
        <v>1.5929203539822984E-2</v>
      </c>
      <c r="AC319">
        <v>110.8</v>
      </c>
      <c r="AD319">
        <v>113.7</v>
      </c>
      <c r="AE319">
        <v>119</v>
      </c>
      <c r="AF319">
        <v>109.1</v>
      </c>
      <c r="AG319">
        <v>113.8</v>
      </c>
      <c r="AH319">
        <v>120.1</v>
      </c>
      <c r="AI319" t="str">
        <f t="shared" si="24"/>
        <v>No</v>
      </c>
    </row>
    <row r="320" spans="1:35" x14ac:dyDescent="0.25">
      <c r="A320" t="s">
        <v>30</v>
      </c>
      <c r="B320">
        <v>2015</v>
      </c>
      <c r="C320">
        <v>11</v>
      </c>
      <c r="D320" s="13">
        <f t="shared" si="20"/>
        <v>42309</v>
      </c>
      <c r="E320">
        <v>126.1</v>
      </c>
      <c r="F320">
        <v>130.6</v>
      </c>
      <c r="G320">
        <v>121.7</v>
      </c>
      <c r="H320">
        <v>129.5</v>
      </c>
      <c r="I320">
        <v>117.8</v>
      </c>
      <c r="J320">
        <v>132.1</v>
      </c>
      <c r="K320">
        <v>155.19999999999999</v>
      </c>
      <c r="L320">
        <v>160.80000000000001</v>
      </c>
      <c r="M320">
        <v>94.5</v>
      </c>
      <c r="N320">
        <v>128.30000000000001</v>
      </c>
      <c r="O320">
        <v>123.1</v>
      </c>
      <c r="P320">
        <v>134.19999999999999</v>
      </c>
      <c r="Q320">
        <v>132.4</v>
      </c>
      <c r="R320" s="12">
        <f t="shared" si="21"/>
        <v>5.8353317346123194E-2</v>
      </c>
      <c r="S320">
        <v>132.19999999999999</v>
      </c>
      <c r="T320">
        <v>132.1</v>
      </c>
      <c r="U320">
        <v>128.19999999999999</v>
      </c>
      <c r="V320">
        <v>131.5</v>
      </c>
      <c r="W320" t="s">
        <v>31</v>
      </c>
      <c r="X320">
        <v>125.6</v>
      </c>
      <c r="Y320" s="12">
        <f t="shared" si="22"/>
        <v>8.7445887445887396E-2</v>
      </c>
      <c r="Z320">
        <v>125.6</v>
      </c>
      <c r="AA320">
        <v>122.6</v>
      </c>
      <c r="AB320" s="12">
        <f t="shared" si="23"/>
        <v>6.7944250871080122E-2</v>
      </c>
      <c r="AC320">
        <v>114</v>
      </c>
      <c r="AD320">
        <v>120.9</v>
      </c>
      <c r="AE320">
        <v>125.8</v>
      </c>
      <c r="AF320">
        <v>114.2</v>
      </c>
      <c r="AG320">
        <v>119.6</v>
      </c>
      <c r="AH320">
        <v>128.30000000000001</v>
      </c>
      <c r="AI320" t="str">
        <f t="shared" si="24"/>
        <v>No</v>
      </c>
    </row>
    <row r="321" spans="1:35" x14ac:dyDescent="0.25">
      <c r="A321" t="s">
        <v>32</v>
      </c>
      <c r="B321">
        <v>2015</v>
      </c>
      <c r="C321">
        <v>11</v>
      </c>
      <c r="D321" s="13">
        <f t="shared" si="20"/>
        <v>42309</v>
      </c>
      <c r="E321">
        <v>124</v>
      </c>
      <c r="F321">
        <v>129.80000000000001</v>
      </c>
      <c r="G321">
        <v>121.5</v>
      </c>
      <c r="H321">
        <v>128.6</v>
      </c>
      <c r="I321">
        <v>110</v>
      </c>
      <c r="J321">
        <v>123.7</v>
      </c>
      <c r="K321">
        <v>164.6</v>
      </c>
      <c r="L321">
        <v>191.6</v>
      </c>
      <c r="M321">
        <v>90.8</v>
      </c>
      <c r="N321">
        <v>137.1</v>
      </c>
      <c r="O321">
        <v>119.8</v>
      </c>
      <c r="P321">
        <v>133.69999999999999</v>
      </c>
      <c r="Q321">
        <v>133.30000000000001</v>
      </c>
      <c r="R321" s="12">
        <f t="shared" si="21"/>
        <v>6.7975830815710393E-3</v>
      </c>
      <c r="S321">
        <v>137.6</v>
      </c>
      <c r="T321">
        <v>125</v>
      </c>
      <c r="U321">
        <v>119.3</v>
      </c>
      <c r="V321">
        <v>124.2</v>
      </c>
      <c r="W321">
        <v>122.9</v>
      </c>
      <c r="X321">
        <v>115.1</v>
      </c>
      <c r="Y321" s="12">
        <f t="shared" si="22"/>
        <v>-8.3598726114649691E-2</v>
      </c>
      <c r="Z321">
        <v>121</v>
      </c>
      <c r="AA321">
        <v>118.1</v>
      </c>
      <c r="AB321" s="12">
        <f t="shared" si="23"/>
        <v>-3.6704730831973897E-2</v>
      </c>
      <c r="AC321">
        <v>109.3</v>
      </c>
      <c r="AD321">
        <v>117.9</v>
      </c>
      <c r="AE321">
        <v>126.6</v>
      </c>
      <c r="AF321">
        <v>113.3</v>
      </c>
      <c r="AG321">
        <v>116.6</v>
      </c>
      <c r="AH321">
        <v>124.6</v>
      </c>
      <c r="AI321" t="str">
        <f t="shared" si="24"/>
        <v>No</v>
      </c>
    </row>
    <row r="322" spans="1:35" x14ac:dyDescent="0.25">
      <c r="A322" t="s">
        <v>33</v>
      </c>
      <c r="B322">
        <v>2015</v>
      </c>
      <c r="C322">
        <v>11</v>
      </c>
      <c r="D322" s="13">
        <f t="shared" si="20"/>
        <v>42309</v>
      </c>
      <c r="E322">
        <v>125.4</v>
      </c>
      <c r="F322">
        <v>130.30000000000001</v>
      </c>
      <c r="G322">
        <v>121.6</v>
      </c>
      <c r="H322">
        <v>129.19999999999999</v>
      </c>
      <c r="I322">
        <v>114.9</v>
      </c>
      <c r="J322">
        <v>128.19999999999999</v>
      </c>
      <c r="K322">
        <v>158.4</v>
      </c>
      <c r="L322">
        <v>171.2</v>
      </c>
      <c r="M322">
        <v>93.3</v>
      </c>
      <c r="N322">
        <v>131.19999999999999</v>
      </c>
      <c r="O322">
        <v>121.7</v>
      </c>
      <c r="P322">
        <v>134</v>
      </c>
      <c r="Q322">
        <v>132.69999999999999</v>
      </c>
      <c r="R322" s="12">
        <f t="shared" si="21"/>
        <v>-4.5011252813205007E-3</v>
      </c>
      <c r="S322">
        <v>133.6</v>
      </c>
      <c r="T322">
        <v>129.30000000000001</v>
      </c>
      <c r="U322">
        <v>124.5</v>
      </c>
      <c r="V322">
        <v>128.6</v>
      </c>
      <c r="W322">
        <v>122.9</v>
      </c>
      <c r="X322">
        <v>121.6</v>
      </c>
      <c r="Y322" s="12">
        <f t="shared" si="22"/>
        <v>5.6472632493483929E-2</v>
      </c>
      <c r="Z322">
        <v>123.4</v>
      </c>
      <c r="AA322">
        <v>120.9</v>
      </c>
      <c r="AB322" s="12">
        <f t="shared" si="23"/>
        <v>2.3708721422523383E-2</v>
      </c>
      <c r="AC322">
        <v>111.5</v>
      </c>
      <c r="AD322">
        <v>119.2</v>
      </c>
      <c r="AE322">
        <v>126.3</v>
      </c>
      <c r="AF322">
        <v>113.8</v>
      </c>
      <c r="AG322">
        <v>118.1</v>
      </c>
      <c r="AH322">
        <v>126.6</v>
      </c>
      <c r="AI322" t="str">
        <f t="shared" si="24"/>
        <v>No</v>
      </c>
    </row>
    <row r="323" spans="1:35" x14ac:dyDescent="0.25">
      <c r="A323" t="s">
        <v>30</v>
      </c>
      <c r="B323">
        <v>2016</v>
      </c>
      <c r="C323">
        <v>11</v>
      </c>
      <c r="D323" s="13">
        <f t="shared" ref="D323:D373" si="25">DATE(B323,C323,1)</f>
        <v>42675</v>
      </c>
      <c r="E323">
        <v>132</v>
      </c>
      <c r="F323">
        <v>137.4</v>
      </c>
      <c r="G323">
        <v>130.6</v>
      </c>
      <c r="H323">
        <v>136.19999999999999</v>
      </c>
      <c r="I323">
        <v>121.1</v>
      </c>
      <c r="J323">
        <v>136.9</v>
      </c>
      <c r="K323">
        <v>141.80000000000001</v>
      </c>
      <c r="L323">
        <v>170</v>
      </c>
      <c r="M323">
        <v>113.4</v>
      </c>
      <c r="N323">
        <v>136.80000000000001</v>
      </c>
      <c r="O323">
        <v>128.69999999999999</v>
      </c>
      <c r="P323">
        <v>143.1</v>
      </c>
      <c r="Q323">
        <v>136.6</v>
      </c>
      <c r="R323" s="12">
        <f t="shared" ref="R323:R373" si="26">(Q323-Q322)/Q322</f>
        <v>2.9389600602863646E-2</v>
      </c>
      <c r="S323">
        <v>141.19999999999999</v>
      </c>
      <c r="T323">
        <v>139.9</v>
      </c>
      <c r="U323">
        <v>134.5</v>
      </c>
      <c r="V323">
        <v>139.19999999999999</v>
      </c>
      <c r="W323" t="s">
        <v>31</v>
      </c>
      <c r="X323">
        <v>130.30000000000001</v>
      </c>
      <c r="Y323" s="12">
        <f t="shared" ref="Y323:Y373" si="27">(X323-X322)/X322</f>
        <v>7.1546052631579093E-2</v>
      </c>
      <c r="Z323">
        <v>132.1</v>
      </c>
      <c r="AA323">
        <v>129.1</v>
      </c>
      <c r="AB323" s="12">
        <f t="shared" ref="AB323:AB373" si="28">(AA323-AA322)/AA322</f>
        <v>6.7824648469809665E-2</v>
      </c>
      <c r="AC323">
        <v>118.2</v>
      </c>
      <c r="AD323">
        <v>126.9</v>
      </c>
      <c r="AE323">
        <v>133.69999999999999</v>
      </c>
      <c r="AF323">
        <v>123.5</v>
      </c>
      <c r="AG323">
        <v>126.1</v>
      </c>
      <c r="AH323">
        <v>133.6</v>
      </c>
      <c r="AI323" t="str">
        <f t="shared" ref="AI323:AI373" si="29">IF(AND(J323&gt;150,K323&gt;150),"Yes","No")</f>
        <v>No</v>
      </c>
    </row>
    <row r="324" spans="1:35" x14ac:dyDescent="0.25">
      <c r="A324" t="s">
        <v>32</v>
      </c>
      <c r="B324">
        <v>2016</v>
      </c>
      <c r="C324">
        <v>11</v>
      </c>
      <c r="D324" s="13">
        <f t="shared" si="25"/>
        <v>42675</v>
      </c>
      <c r="E324">
        <v>130.19999999999999</v>
      </c>
      <c r="F324">
        <v>138.5</v>
      </c>
      <c r="G324">
        <v>134.1</v>
      </c>
      <c r="H324">
        <v>132.9</v>
      </c>
      <c r="I324">
        <v>112.6</v>
      </c>
      <c r="J324">
        <v>130.80000000000001</v>
      </c>
      <c r="K324">
        <v>142</v>
      </c>
      <c r="L324">
        <v>174.9</v>
      </c>
      <c r="M324">
        <v>115.6</v>
      </c>
      <c r="N324">
        <v>145.4</v>
      </c>
      <c r="O324">
        <v>122.7</v>
      </c>
      <c r="P324">
        <v>140.30000000000001</v>
      </c>
      <c r="Q324">
        <v>135.19999999999999</v>
      </c>
      <c r="R324" s="12">
        <f t="shared" si="26"/>
        <v>-1.0248901903367538E-2</v>
      </c>
      <c r="S324">
        <v>144.30000000000001</v>
      </c>
      <c r="T324">
        <v>129.6</v>
      </c>
      <c r="U324">
        <v>122.1</v>
      </c>
      <c r="V324">
        <v>128.5</v>
      </c>
      <c r="W324">
        <v>129.1</v>
      </c>
      <c r="X324">
        <v>116.2</v>
      </c>
      <c r="Y324" s="12">
        <f t="shared" si="27"/>
        <v>-0.10821181887950888</v>
      </c>
      <c r="Z324">
        <v>124.7</v>
      </c>
      <c r="AA324">
        <v>122.1</v>
      </c>
      <c r="AB324" s="12">
        <f t="shared" si="28"/>
        <v>-5.4221533694810226E-2</v>
      </c>
      <c r="AC324">
        <v>113.4</v>
      </c>
      <c r="AD324">
        <v>121.7</v>
      </c>
      <c r="AE324">
        <v>132.1</v>
      </c>
      <c r="AF324">
        <v>121.3</v>
      </c>
      <c r="AG324">
        <v>121.3</v>
      </c>
      <c r="AH324">
        <v>128.5</v>
      </c>
      <c r="AI324" t="str">
        <f t="shared" si="29"/>
        <v>No</v>
      </c>
    </row>
    <row r="325" spans="1:35" x14ac:dyDescent="0.25">
      <c r="A325" t="s">
        <v>33</v>
      </c>
      <c r="B325">
        <v>2016</v>
      </c>
      <c r="C325">
        <v>11</v>
      </c>
      <c r="D325" s="13">
        <f t="shared" si="25"/>
        <v>42675</v>
      </c>
      <c r="E325">
        <v>131.4</v>
      </c>
      <c r="F325">
        <v>137.80000000000001</v>
      </c>
      <c r="G325">
        <v>132</v>
      </c>
      <c r="H325">
        <v>135</v>
      </c>
      <c r="I325">
        <v>118</v>
      </c>
      <c r="J325">
        <v>134.1</v>
      </c>
      <c r="K325">
        <v>141.9</v>
      </c>
      <c r="L325">
        <v>171.7</v>
      </c>
      <c r="M325">
        <v>114.1</v>
      </c>
      <c r="N325">
        <v>139.69999999999999</v>
      </c>
      <c r="O325">
        <v>126.2</v>
      </c>
      <c r="P325">
        <v>141.80000000000001</v>
      </c>
      <c r="Q325">
        <v>136.1</v>
      </c>
      <c r="R325" s="12">
        <f t="shared" si="26"/>
        <v>6.6568047337278533E-3</v>
      </c>
      <c r="S325">
        <v>142</v>
      </c>
      <c r="T325">
        <v>135.80000000000001</v>
      </c>
      <c r="U325">
        <v>129.30000000000001</v>
      </c>
      <c r="V325">
        <v>135</v>
      </c>
      <c r="W325">
        <v>129.1</v>
      </c>
      <c r="X325">
        <v>125</v>
      </c>
      <c r="Y325" s="12">
        <f t="shared" si="27"/>
        <v>7.5731497418244378E-2</v>
      </c>
      <c r="Z325">
        <v>128.6</v>
      </c>
      <c r="AA325">
        <v>126.4</v>
      </c>
      <c r="AB325" s="12">
        <f t="shared" si="28"/>
        <v>3.5217035217035314E-2</v>
      </c>
      <c r="AC325">
        <v>115.7</v>
      </c>
      <c r="AD325">
        <v>124</v>
      </c>
      <c r="AE325">
        <v>132.80000000000001</v>
      </c>
      <c r="AF325">
        <v>122.6</v>
      </c>
      <c r="AG325">
        <v>123.8</v>
      </c>
      <c r="AH325">
        <v>131.19999999999999</v>
      </c>
      <c r="AI325" t="str">
        <f t="shared" si="29"/>
        <v>No</v>
      </c>
    </row>
    <row r="326" spans="1:35" x14ac:dyDescent="0.25">
      <c r="A326" t="s">
        <v>30</v>
      </c>
      <c r="B326">
        <v>2017</v>
      </c>
      <c r="C326">
        <v>11</v>
      </c>
      <c r="D326" s="13">
        <f t="shared" si="25"/>
        <v>43040</v>
      </c>
      <c r="E326">
        <v>136.30000000000001</v>
      </c>
      <c r="F326">
        <v>142.5</v>
      </c>
      <c r="G326">
        <v>140.5</v>
      </c>
      <c r="H326">
        <v>141.5</v>
      </c>
      <c r="I326">
        <v>121.6</v>
      </c>
      <c r="J326">
        <v>147.30000000000001</v>
      </c>
      <c r="K326">
        <v>168</v>
      </c>
      <c r="L326">
        <v>135.80000000000001</v>
      </c>
      <c r="M326">
        <v>122.5</v>
      </c>
      <c r="N326">
        <v>136</v>
      </c>
      <c r="O326">
        <v>131.9</v>
      </c>
      <c r="P326">
        <v>151.4</v>
      </c>
      <c r="Q326">
        <v>142.4</v>
      </c>
      <c r="R326" s="12">
        <f t="shared" si="26"/>
        <v>4.6289493019838437E-2</v>
      </c>
      <c r="S326">
        <v>152.1</v>
      </c>
      <c r="T326">
        <v>148.19999999999999</v>
      </c>
      <c r="U326">
        <v>141.5</v>
      </c>
      <c r="V326">
        <v>147.30000000000001</v>
      </c>
      <c r="W326" t="s">
        <v>31</v>
      </c>
      <c r="X326">
        <v>141.1</v>
      </c>
      <c r="Y326" s="12">
        <f t="shared" si="27"/>
        <v>0.12879999999999994</v>
      </c>
      <c r="Z326">
        <v>139.4</v>
      </c>
      <c r="AA326">
        <v>135.80000000000001</v>
      </c>
      <c r="AB326" s="12">
        <f t="shared" si="28"/>
        <v>7.4367088607594972E-2</v>
      </c>
      <c r="AC326">
        <v>121.6</v>
      </c>
      <c r="AD326">
        <v>133.69999999999999</v>
      </c>
      <c r="AE326">
        <v>141.5</v>
      </c>
      <c r="AF326">
        <v>128.1</v>
      </c>
      <c r="AG326">
        <v>131.69999999999999</v>
      </c>
      <c r="AH326">
        <v>140</v>
      </c>
      <c r="AI326" t="str">
        <f t="shared" si="29"/>
        <v>No</v>
      </c>
    </row>
    <row r="327" spans="1:35" x14ac:dyDescent="0.25">
      <c r="A327" t="s">
        <v>32</v>
      </c>
      <c r="B327">
        <v>2017</v>
      </c>
      <c r="C327">
        <v>11</v>
      </c>
      <c r="D327" s="13">
        <f t="shared" si="25"/>
        <v>43040</v>
      </c>
      <c r="E327">
        <v>134.30000000000001</v>
      </c>
      <c r="F327">
        <v>142.1</v>
      </c>
      <c r="G327">
        <v>146.69999999999999</v>
      </c>
      <c r="H327">
        <v>139.5</v>
      </c>
      <c r="I327">
        <v>115.2</v>
      </c>
      <c r="J327">
        <v>136.4</v>
      </c>
      <c r="K327">
        <v>185.2</v>
      </c>
      <c r="L327">
        <v>122.2</v>
      </c>
      <c r="M327">
        <v>123.9</v>
      </c>
      <c r="N327">
        <v>138.30000000000001</v>
      </c>
      <c r="O327">
        <v>125.4</v>
      </c>
      <c r="P327">
        <v>146</v>
      </c>
      <c r="Q327">
        <v>141.5</v>
      </c>
      <c r="R327" s="12">
        <f t="shared" si="26"/>
        <v>-6.3202247191011633E-3</v>
      </c>
      <c r="S327">
        <v>156.19999999999999</v>
      </c>
      <c r="T327">
        <v>135</v>
      </c>
      <c r="U327">
        <v>125.4</v>
      </c>
      <c r="V327">
        <v>133.5</v>
      </c>
      <c r="W327">
        <v>138.6</v>
      </c>
      <c r="X327">
        <v>125.7</v>
      </c>
      <c r="Y327" s="12">
        <f t="shared" si="27"/>
        <v>-0.10914245216158747</v>
      </c>
      <c r="Z327">
        <v>128.80000000000001</v>
      </c>
      <c r="AA327">
        <v>127.4</v>
      </c>
      <c r="AB327" s="12">
        <f t="shared" si="28"/>
        <v>-6.185567010309282E-2</v>
      </c>
      <c r="AC327">
        <v>115.3</v>
      </c>
      <c r="AD327">
        <v>125.1</v>
      </c>
      <c r="AE327">
        <v>136.6</v>
      </c>
      <c r="AF327">
        <v>124.9</v>
      </c>
      <c r="AG327">
        <v>124.9</v>
      </c>
      <c r="AH327">
        <v>134.80000000000001</v>
      </c>
      <c r="AI327" t="str">
        <f t="shared" si="29"/>
        <v>No</v>
      </c>
    </row>
    <row r="328" spans="1:35" x14ac:dyDescent="0.25">
      <c r="A328" t="s">
        <v>33</v>
      </c>
      <c r="B328">
        <v>2017</v>
      </c>
      <c r="C328">
        <v>11</v>
      </c>
      <c r="D328" s="13">
        <f t="shared" si="25"/>
        <v>43040</v>
      </c>
      <c r="E328">
        <v>135.69999999999999</v>
      </c>
      <c r="F328">
        <v>142.4</v>
      </c>
      <c r="G328">
        <v>142.9</v>
      </c>
      <c r="H328">
        <v>140.80000000000001</v>
      </c>
      <c r="I328">
        <v>119.2</v>
      </c>
      <c r="J328">
        <v>142.19999999999999</v>
      </c>
      <c r="K328">
        <v>173.8</v>
      </c>
      <c r="L328">
        <v>131.19999999999999</v>
      </c>
      <c r="M328">
        <v>123</v>
      </c>
      <c r="N328">
        <v>136.80000000000001</v>
      </c>
      <c r="O328">
        <v>129.19999999999999</v>
      </c>
      <c r="P328">
        <v>148.9</v>
      </c>
      <c r="Q328">
        <v>142.1</v>
      </c>
      <c r="R328" s="12">
        <f t="shared" si="26"/>
        <v>4.2402826855123272E-3</v>
      </c>
      <c r="S328">
        <v>153.19999999999999</v>
      </c>
      <c r="T328">
        <v>143</v>
      </c>
      <c r="U328">
        <v>134.80000000000001</v>
      </c>
      <c r="V328">
        <v>141.80000000000001</v>
      </c>
      <c r="W328">
        <v>138.6</v>
      </c>
      <c r="X328">
        <v>135.30000000000001</v>
      </c>
      <c r="Y328" s="12">
        <f t="shared" si="27"/>
        <v>7.6372315035799596E-2</v>
      </c>
      <c r="Z328">
        <v>134.4</v>
      </c>
      <c r="AA328">
        <v>132.6</v>
      </c>
      <c r="AB328" s="12">
        <f t="shared" si="28"/>
        <v>4.0816326530612151E-2</v>
      </c>
      <c r="AC328">
        <v>118.3</v>
      </c>
      <c r="AD328">
        <v>128.9</v>
      </c>
      <c r="AE328">
        <v>138.6</v>
      </c>
      <c r="AF328">
        <v>126.8</v>
      </c>
      <c r="AG328">
        <v>128.4</v>
      </c>
      <c r="AH328">
        <v>137.6</v>
      </c>
      <c r="AI328" t="str">
        <f t="shared" si="29"/>
        <v>No</v>
      </c>
    </row>
    <row r="329" spans="1:35" x14ac:dyDescent="0.25">
      <c r="A329" t="s">
        <v>30</v>
      </c>
      <c r="B329">
        <v>2018</v>
      </c>
      <c r="C329">
        <v>11</v>
      </c>
      <c r="D329" s="13">
        <f t="shared" si="25"/>
        <v>43405</v>
      </c>
      <c r="E329">
        <v>137.1</v>
      </c>
      <c r="F329">
        <v>150.80000000000001</v>
      </c>
      <c r="G329">
        <v>136.69999999999999</v>
      </c>
      <c r="H329">
        <v>141.9</v>
      </c>
      <c r="I329">
        <v>122.8</v>
      </c>
      <c r="J329">
        <v>143.9</v>
      </c>
      <c r="K329">
        <v>147.5</v>
      </c>
      <c r="L329">
        <v>121</v>
      </c>
      <c r="M329">
        <v>111.6</v>
      </c>
      <c r="N329">
        <v>140.6</v>
      </c>
      <c r="O329">
        <v>137.5</v>
      </c>
      <c r="P329">
        <v>156.1</v>
      </c>
      <c r="Q329">
        <v>140</v>
      </c>
      <c r="R329" s="12">
        <f t="shared" si="26"/>
        <v>-1.477832512315267E-2</v>
      </c>
      <c r="S329">
        <v>161.9</v>
      </c>
      <c r="T329">
        <v>151.69999999999999</v>
      </c>
      <c r="U329">
        <v>145.5</v>
      </c>
      <c r="V329">
        <v>150.80000000000001</v>
      </c>
      <c r="W329" t="s">
        <v>31</v>
      </c>
      <c r="X329">
        <v>150.30000000000001</v>
      </c>
      <c r="Y329" s="12">
        <f t="shared" si="27"/>
        <v>0.11086474501108647</v>
      </c>
      <c r="Z329">
        <v>148</v>
      </c>
      <c r="AA329">
        <v>145.4</v>
      </c>
      <c r="AB329" s="12">
        <f t="shared" si="28"/>
        <v>9.6530920060331912E-2</v>
      </c>
      <c r="AC329">
        <v>130.30000000000001</v>
      </c>
      <c r="AD329">
        <v>143.1</v>
      </c>
      <c r="AE329">
        <v>150.19999999999999</v>
      </c>
      <c r="AF329">
        <v>133.1</v>
      </c>
      <c r="AG329">
        <v>140.1</v>
      </c>
      <c r="AH329">
        <v>142.4</v>
      </c>
      <c r="AI329" t="str">
        <f t="shared" si="29"/>
        <v>No</v>
      </c>
    </row>
    <row r="330" spans="1:35" x14ac:dyDescent="0.25">
      <c r="A330" t="s">
        <v>32</v>
      </c>
      <c r="B330">
        <v>2018</v>
      </c>
      <c r="C330">
        <v>11</v>
      </c>
      <c r="D330" s="13">
        <f t="shared" si="25"/>
        <v>43405</v>
      </c>
      <c r="E330">
        <v>138.1</v>
      </c>
      <c r="F330">
        <v>146.30000000000001</v>
      </c>
      <c r="G330">
        <v>137.80000000000001</v>
      </c>
      <c r="H330">
        <v>141.6</v>
      </c>
      <c r="I330">
        <v>118.1</v>
      </c>
      <c r="J330">
        <v>141.5</v>
      </c>
      <c r="K330">
        <v>145.19999999999999</v>
      </c>
      <c r="L330">
        <v>115.3</v>
      </c>
      <c r="M330">
        <v>112.5</v>
      </c>
      <c r="N330">
        <v>141.4</v>
      </c>
      <c r="O330">
        <v>128</v>
      </c>
      <c r="P330">
        <v>152.6</v>
      </c>
      <c r="Q330">
        <v>139.1</v>
      </c>
      <c r="R330" s="12">
        <f t="shared" si="26"/>
        <v>-6.4285714285714692E-3</v>
      </c>
      <c r="S330">
        <v>164.4</v>
      </c>
      <c r="T330">
        <v>142.4</v>
      </c>
      <c r="U330">
        <v>130.19999999999999</v>
      </c>
      <c r="V330">
        <v>140.5</v>
      </c>
      <c r="W330">
        <v>146.9</v>
      </c>
      <c r="X330">
        <v>136.69999999999999</v>
      </c>
      <c r="Y330" s="12">
        <f t="shared" si="27"/>
        <v>-9.0485695276114581E-2</v>
      </c>
      <c r="Z330">
        <v>135.80000000000001</v>
      </c>
      <c r="AA330">
        <v>136.80000000000001</v>
      </c>
      <c r="AB330" s="12">
        <f t="shared" si="28"/>
        <v>-5.9147180192572174E-2</v>
      </c>
      <c r="AC330">
        <v>121.2</v>
      </c>
      <c r="AD330">
        <v>131.30000000000001</v>
      </c>
      <c r="AE330">
        <v>146.1</v>
      </c>
      <c r="AF330">
        <v>130.5</v>
      </c>
      <c r="AG330">
        <v>132.19999999999999</v>
      </c>
      <c r="AH330">
        <v>139</v>
      </c>
      <c r="AI330" t="str">
        <f t="shared" si="29"/>
        <v>No</v>
      </c>
    </row>
    <row r="331" spans="1:35" x14ac:dyDescent="0.25">
      <c r="A331" t="s">
        <v>33</v>
      </c>
      <c r="B331">
        <v>2018</v>
      </c>
      <c r="C331">
        <v>11</v>
      </c>
      <c r="D331" s="13">
        <f t="shared" si="25"/>
        <v>43405</v>
      </c>
      <c r="E331">
        <v>137.4</v>
      </c>
      <c r="F331">
        <v>149.19999999999999</v>
      </c>
      <c r="G331">
        <v>137.1</v>
      </c>
      <c r="H331">
        <v>141.80000000000001</v>
      </c>
      <c r="I331">
        <v>121.1</v>
      </c>
      <c r="J331">
        <v>142.80000000000001</v>
      </c>
      <c r="K331">
        <v>146.69999999999999</v>
      </c>
      <c r="L331">
        <v>119.1</v>
      </c>
      <c r="M331">
        <v>111.9</v>
      </c>
      <c r="N331">
        <v>140.9</v>
      </c>
      <c r="O331">
        <v>133.5</v>
      </c>
      <c r="P331">
        <v>154.5</v>
      </c>
      <c r="Q331">
        <v>139.69999999999999</v>
      </c>
      <c r="R331" s="12">
        <f t="shared" si="26"/>
        <v>4.3134435657799734E-3</v>
      </c>
      <c r="S331">
        <v>162.6</v>
      </c>
      <c r="T331">
        <v>148</v>
      </c>
      <c r="U331">
        <v>139.1</v>
      </c>
      <c r="V331">
        <v>146.69999999999999</v>
      </c>
      <c r="W331">
        <v>146.9</v>
      </c>
      <c r="X331">
        <v>145.1</v>
      </c>
      <c r="Y331" s="12">
        <f t="shared" si="27"/>
        <v>6.1448427212874954E-2</v>
      </c>
      <c r="Z331">
        <v>142.19999999999999</v>
      </c>
      <c r="AA331">
        <v>142.1</v>
      </c>
      <c r="AB331" s="12">
        <f t="shared" si="28"/>
        <v>3.8742690058479405E-2</v>
      </c>
      <c r="AC331">
        <v>125.5</v>
      </c>
      <c r="AD331">
        <v>136.5</v>
      </c>
      <c r="AE331">
        <v>147.80000000000001</v>
      </c>
      <c r="AF331">
        <v>132</v>
      </c>
      <c r="AG331">
        <v>136.30000000000001</v>
      </c>
      <c r="AH331">
        <v>140.80000000000001</v>
      </c>
      <c r="AI331" t="str">
        <f t="shared" si="29"/>
        <v>No</v>
      </c>
    </row>
    <row r="332" spans="1:35" x14ac:dyDescent="0.25">
      <c r="A332" t="s">
        <v>30</v>
      </c>
      <c r="B332">
        <v>2019</v>
      </c>
      <c r="C332">
        <v>11</v>
      </c>
      <c r="D332" s="13">
        <f t="shared" si="25"/>
        <v>43770</v>
      </c>
      <c r="E332">
        <v>141.80000000000001</v>
      </c>
      <c r="F332">
        <v>163.69999999999999</v>
      </c>
      <c r="G332">
        <v>143.80000000000001</v>
      </c>
      <c r="H332">
        <v>147.1</v>
      </c>
      <c r="I332">
        <v>126</v>
      </c>
      <c r="J332">
        <v>146.19999999999999</v>
      </c>
      <c r="K332">
        <v>191.4</v>
      </c>
      <c r="L332">
        <v>136.19999999999999</v>
      </c>
      <c r="M332">
        <v>113.8</v>
      </c>
      <c r="N332">
        <v>147.30000000000001</v>
      </c>
      <c r="O332">
        <v>138.69999999999999</v>
      </c>
      <c r="P332">
        <v>157.69999999999999</v>
      </c>
      <c r="Q332">
        <v>150.9</v>
      </c>
      <c r="R332" s="12">
        <f t="shared" si="26"/>
        <v>8.0171796707229903E-2</v>
      </c>
      <c r="S332">
        <v>167.2</v>
      </c>
      <c r="T332">
        <v>152.30000000000001</v>
      </c>
      <c r="U332">
        <v>147</v>
      </c>
      <c r="V332">
        <v>151.5</v>
      </c>
      <c r="W332" t="s">
        <v>31</v>
      </c>
      <c r="X332">
        <v>148.4</v>
      </c>
      <c r="Y332" s="12">
        <f t="shared" si="27"/>
        <v>2.2742935906271616E-2</v>
      </c>
      <c r="Z332">
        <v>150.9</v>
      </c>
      <c r="AA332">
        <v>154.30000000000001</v>
      </c>
      <c r="AB332" s="12">
        <f t="shared" si="28"/>
        <v>8.5855031667839671E-2</v>
      </c>
      <c r="AC332">
        <v>132.1</v>
      </c>
      <c r="AD332">
        <v>149.1</v>
      </c>
      <c r="AE332">
        <v>160.80000000000001</v>
      </c>
      <c r="AF332">
        <v>140.6</v>
      </c>
      <c r="AG332">
        <v>146.1</v>
      </c>
      <c r="AH332">
        <v>149.9</v>
      </c>
      <c r="AI332" t="str">
        <f t="shared" si="29"/>
        <v>No</v>
      </c>
    </row>
    <row r="333" spans="1:35" x14ac:dyDescent="0.25">
      <c r="A333" t="s">
        <v>32</v>
      </c>
      <c r="B333">
        <v>2019</v>
      </c>
      <c r="C333">
        <v>11</v>
      </c>
      <c r="D333" s="13">
        <f t="shared" si="25"/>
        <v>43770</v>
      </c>
      <c r="E333">
        <v>144.1</v>
      </c>
      <c r="F333">
        <v>162.4</v>
      </c>
      <c r="G333">
        <v>148.4</v>
      </c>
      <c r="H333">
        <v>145.9</v>
      </c>
      <c r="I333">
        <v>121.5</v>
      </c>
      <c r="J333">
        <v>148.80000000000001</v>
      </c>
      <c r="K333">
        <v>215.7</v>
      </c>
      <c r="L333">
        <v>134.6</v>
      </c>
      <c r="M333">
        <v>115</v>
      </c>
      <c r="N333">
        <v>146.30000000000001</v>
      </c>
      <c r="O333">
        <v>130.5</v>
      </c>
      <c r="P333">
        <v>157.19999999999999</v>
      </c>
      <c r="Q333">
        <v>153.6</v>
      </c>
      <c r="R333" s="12">
        <f t="shared" si="26"/>
        <v>1.789264413518879E-2</v>
      </c>
      <c r="S333">
        <v>169.9</v>
      </c>
      <c r="T333">
        <v>146.30000000000001</v>
      </c>
      <c r="U333">
        <v>132.6</v>
      </c>
      <c r="V333">
        <v>144.19999999999999</v>
      </c>
      <c r="W333">
        <v>153.5</v>
      </c>
      <c r="X333">
        <v>132.19999999999999</v>
      </c>
      <c r="Y333" s="12">
        <f t="shared" si="27"/>
        <v>-0.10916442048517531</v>
      </c>
      <c r="Z333">
        <v>139.1</v>
      </c>
      <c r="AA333">
        <v>142.80000000000001</v>
      </c>
      <c r="AB333" s="12">
        <f t="shared" si="28"/>
        <v>-7.4530136098509392E-2</v>
      </c>
      <c r="AC333">
        <v>121.7</v>
      </c>
      <c r="AD333">
        <v>136.69999999999999</v>
      </c>
      <c r="AE333">
        <v>151.80000000000001</v>
      </c>
      <c r="AF333">
        <v>139.80000000000001</v>
      </c>
      <c r="AG333">
        <v>136.30000000000001</v>
      </c>
      <c r="AH333">
        <v>147</v>
      </c>
      <c r="AI333" t="str">
        <f t="shared" si="29"/>
        <v>No</v>
      </c>
    </row>
    <row r="334" spans="1:35" x14ac:dyDescent="0.25">
      <c r="A334" t="s">
        <v>33</v>
      </c>
      <c r="B334">
        <v>2019</v>
      </c>
      <c r="C334">
        <v>11</v>
      </c>
      <c r="D334" s="13">
        <f t="shared" si="25"/>
        <v>43770</v>
      </c>
      <c r="E334">
        <v>142.5</v>
      </c>
      <c r="F334">
        <v>163.19999999999999</v>
      </c>
      <c r="G334">
        <v>145.6</v>
      </c>
      <c r="H334">
        <v>146.69999999999999</v>
      </c>
      <c r="I334">
        <v>124.3</v>
      </c>
      <c r="J334">
        <v>147.4</v>
      </c>
      <c r="K334">
        <v>199.6</v>
      </c>
      <c r="L334">
        <v>135.69999999999999</v>
      </c>
      <c r="M334">
        <v>114.2</v>
      </c>
      <c r="N334">
        <v>147</v>
      </c>
      <c r="O334">
        <v>135.30000000000001</v>
      </c>
      <c r="P334">
        <v>157.5</v>
      </c>
      <c r="Q334">
        <v>151.9</v>
      </c>
      <c r="R334" s="12">
        <f t="shared" si="26"/>
        <v>-1.1067708333333259E-2</v>
      </c>
      <c r="S334">
        <v>167.9</v>
      </c>
      <c r="T334">
        <v>149.9</v>
      </c>
      <c r="U334">
        <v>141</v>
      </c>
      <c r="V334">
        <v>148.6</v>
      </c>
      <c r="W334">
        <v>153.5</v>
      </c>
      <c r="X334">
        <v>142.30000000000001</v>
      </c>
      <c r="Y334" s="12">
        <f t="shared" si="27"/>
        <v>7.6399394856278544E-2</v>
      </c>
      <c r="Z334">
        <v>145.30000000000001</v>
      </c>
      <c r="AA334">
        <v>149.9</v>
      </c>
      <c r="AB334" s="12">
        <f t="shared" si="28"/>
        <v>4.9719887955182028E-2</v>
      </c>
      <c r="AC334">
        <v>126.6</v>
      </c>
      <c r="AD334">
        <v>142.1</v>
      </c>
      <c r="AE334">
        <v>155.5</v>
      </c>
      <c r="AF334">
        <v>140.30000000000001</v>
      </c>
      <c r="AG334">
        <v>141.30000000000001</v>
      </c>
      <c r="AH334">
        <v>148.6</v>
      </c>
      <c r="AI334" t="str">
        <f t="shared" si="29"/>
        <v>No</v>
      </c>
    </row>
    <row r="335" spans="1:35" x14ac:dyDescent="0.25">
      <c r="A335" t="s">
        <v>30</v>
      </c>
      <c r="B335">
        <v>2020</v>
      </c>
      <c r="C335">
        <v>11</v>
      </c>
      <c r="D335" s="13">
        <f t="shared" si="25"/>
        <v>44136</v>
      </c>
      <c r="E335">
        <v>145.4</v>
      </c>
      <c r="F335">
        <v>188.6</v>
      </c>
      <c r="G335">
        <v>171.6</v>
      </c>
      <c r="H335">
        <v>153.80000000000001</v>
      </c>
      <c r="I335">
        <v>145.4</v>
      </c>
      <c r="J335">
        <v>146.5</v>
      </c>
      <c r="K335">
        <v>222.2</v>
      </c>
      <c r="L335">
        <v>155.9</v>
      </c>
      <c r="M335">
        <v>114.9</v>
      </c>
      <c r="N335">
        <v>162</v>
      </c>
      <c r="O335">
        <v>150</v>
      </c>
      <c r="P335">
        <v>162.69999999999999</v>
      </c>
      <c r="Q335">
        <v>163.4</v>
      </c>
      <c r="R335" s="12">
        <f t="shared" si="26"/>
        <v>7.5707702435813026E-2</v>
      </c>
      <c r="S335">
        <v>183.4</v>
      </c>
      <c r="T335">
        <v>156.30000000000001</v>
      </c>
      <c r="U335">
        <v>151</v>
      </c>
      <c r="V335">
        <v>155.5</v>
      </c>
      <c r="W335" t="s">
        <v>31</v>
      </c>
      <c r="X335">
        <v>147.5</v>
      </c>
      <c r="Y335" s="12">
        <f t="shared" si="27"/>
        <v>3.6542515811665413E-2</v>
      </c>
      <c r="Z335">
        <v>152.80000000000001</v>
      </c>
      <c r="AA335">
        <v>160.4</v>
      </c>
      <c r="AB335" s="12">
        <f t="shared" si="28"/>
        <v>7.0046697798532356E-2</v>
      </c>
      <c r="AC335">
        <v>146.1</v>
      </c>
      <c r="AD335">
        <v>153.6</v>
      </c>
      <c r="AE335">
        <v>161.6</v>
      </c>
      <c r="AF335">
        <v>156.19999999999999</v>
      </c>
      <c r="AG335">
        <v>154.5</v>
      </c>
      <c r="AH335">
        <v>159.80000000000001</v>
      </c>
      <c r="AI335" t="str">
        <f t="shared" si="29"/>
        <v>No</v>
      </c>
    </row>
    <row r="336" spans="1:35" x14ac:dyDescent="0.25">
      <c r="A336" t="s">
        <v>32</v>
      </c>
      <c r="B336">
        <v>2020</v>
      </c>
      <c r="C336">
        <v>11</v>
      </c>
      <c r="D336" s="13">
        <f t="shared" si="25"/>
        <v>44136</v>
      </c>
      <c r="E336">
        <v>149.69999999999999</v>
      </c>
      <c r="F336">
        <v>195.5</v>
      </c>
      <c r="G336">
        <v>176.9</v>
      </c>
      <c r="H336">
        <v>153.9</v>
      </c>
      <c r="I336">
        <v>138</v>
      </c>
      <c r="J336">
        <v>150.5</v>
      </c>
      <c r="K336">
        <v>245.3</v>
      </c>
      <c r="L336">
        <v>158.69999999999999</v>
      </c>
      <c r="M336">
        <v>117.2</v>
      </c>
      <c r="N336">
        <v>161.4</v>
      </c>
      <c r="O336">
        <v>141.5</v>
      </c>
      <c r="P336">
        <v>165.1</v>
      </c>
      <c r="Q336">
        <v>167</v>
      </c>
      <c r="R336" s="12">
        <f t="shared" si="26"/>
        <v>2.203182374541E-2</v>
      </c>
      <c r="S336">
        <v>188.8</v>
      </c>
      <c r="T336">
        <v>151.1</v>
      </c>
      <c r="U336">
        <v>136.4</v>
      </c>
      <c r="V336">
        <v>148.80000000000001</v>
      </c>
      <c r="W336">
        <v>158</v>
      </c>
      <c r="X336">
        <v>137.30000000000001</v>
      </c>
      <c r="Y336" s="12">
        <f t="shared" si="27"/>
        <v>-6.9152542372881279E-2</v>
      </c>
      <c r="Z336">
        <v>145.1</v>
      </c>
      <c r="AA336">
        <v>152</v>
      </c>
      <c r="AB336" s="12">
        <f t="shared" si="28"/>
        <v>-5.2369077306733201E-2</v>
      </c>
      <c r="AC336">
        <v>135.19999999999999</v>
      </c>
      <c r="AD336">
        <v>144.4</v>
      </c>
      <c r="AE336">
        <v>156.4</v>
      </c>
      <c r="AF336">
        <v>157.9</v>
      </c>
      <c r="AG336">
        <v>146.6</v>
      </c>
      <c r="AH336">
        <v>156.69999999999999</v>
      </c>
      <c r="AI336" t="str">
        <f t="shared" si="29"/>
        <v>Yes</v>
      </c>
    </row>
    <row r="337" spans="1:35" x14ac:dyDescent="0.25">
      <c r="A337" t="s">
        <v>33</v>
      </c>
      <c r="B337">
        <v>2020</v>
      </c>
      <c r="C337">
        <v>11</v>
      </c>
      <c r="D337" s="13">
        <f t="shared" si="25"/>
        <v>44136</v>
      </c>
      <c r="E337">
        <v>146.80000000000001</v>
      </c>
      <c r="F337">
        <v>191</v>
      </c>
      <c r="G337">
        <v>173.6</v>
      </c>
      <c r="H337">
        <v>153.80000000000001</v>
      </c>
      <c r="I337">
        <v>142.69999999999999</v>
      </c>
      <c r="J337">
        <v>148.4</v>
      </c>
      <c r="K337">
        <v>230</v>
      </c>
      <c r="L337">
        <v>156.80000000000001</v>
      </c>
      <c r="M337">
        <v>115.7</v>
      </c>
      <c r="N337">
        <v>161.80000000000001</v>
      </c>
      <c r="O337">
        <v>146.5</v>
      </c>
      <c r="P337">
        <v>163.80000000000001</v>
      </c>
      <c r="Q337">
        <v>164.7</v>
      </c>
      <c r="R337" s="12">
        <f t="shared" si="26"/>
        <v>-1.3772455089820427E-2</v>
      </c>
      <c r="S337">
        <v>184.8</v>
      </c>
      <c r="T337">
        <v>154.30000000000001</v>
      </c>
      <c r="U337">
        <v>144.9</v>
      </c>
      <c r="V337">
        <v>152.80000000000001</v>
      </c>
      <c r="W337">
        <v>158</v>
      </c>
      <c r="X337">
        <v>143.6</v>
      </c>
      <c r="Y337" s="12">
        <f t="shared" si="27"/>
        <v>4.5884923525127332E-2</v>
      </c>
      <c r="Z337">
        <v>149.19999999999999</v>
      </c>
      <c r="AA337">
        <v>157.19999999999999</v>
      </c>
      <c r="AB337" s="12">
        <f t="shared" si="28"/>
        <v>3.42105263157894E-2</v>
      </c>
      <c r="AC337">
        <v>140.4</v>
      </c>
      <c r="AD337">
        <v>148.4</v>
      </c>
      <c r="AE337">
        <v>158.6</v>
      </c>
      <c r="AF337">
        <v>156.9</v>
      </c>
      <c r="AG337">
        <v>150.69999999999999</v>
      </c>
      <c r="AH337">
        <v>158.4</v>
      </c>
      <c r="AI337" t="str">
        <f t="shared" si="29"/>
        <v>No</v>
      </c>
    </row>
    <row r="338" spans="1:35" x14ac:dyDescent="0.25">
      <c r="A338" t="s">
        <v>30</v>
      </c>
      <c r="B338">
        <v>2021</v>
      </c>
      <c r="C338">
        <v>11</v>
      </c>
      <c r="D338" s="13">
        <f t="shared" si="25"/>
        <v>44501</v>
      </c>
      <c r="E338">
        <v>146.9</v>
      </c>
      <c r="F338">
        <v>199.8</v>
      </c>
      <c r="G338">
        <v>171.5</v>
      </c>
      <c r="H338">
        <v>159.1</v>
      </c>
      <c r="I338">
        <v>198.4</v>
      </c>
      <c r="J338">
        <v>153.19999999999999</v>
      </c>
      <c r="K338">
        <v>183.9</v>
      </c>
      <c r="L338">
        <v>165.4</v>
      </c>
      <c r="M338">
        <v>122.1</v>
      </c>
      <c r="N338">
        <v>170.8</v>
      </c>
      <c r="O338">
        <v>169.1</v>
      </c>
      <c r="P338">
        <v>174.3</v>
      </c>
      <c r="Q338">
        <v>167.5</v>
      </c>
      <c r="R338" s="12">
        <f t="shared" si="26"/>
        <v>1.7000607164541662E-2</v>
      </c>
      <c r="S338">
        <v>191.4</v>
      </c>
      <c r="T338">
        <v>170.4</v>
      </c>
      <c r="U338">
        <v>166</v>
      </c>
      <c r="V338">
        <v>169.8</v>
      </c>
      <c r="W338" t="s">
        <v>31</v>
      </c>
      <c r="X338">
        <v>165.3</v>
      </c>
      <c r="Y338" s="12">
        <f t="shared" si="27"/>
        <v>0.15111420612813384</v>
      </c>
      <c r="Z338">
        <v>162.9</v>
      </c>
      <c r="AA338">
        <v>173.4</v>
      </c>
      <c r="AB338" s="12">
        <f t="shared" si="28"/>
        <v>0.10305343511450393</v>
      </c>
      <c r="AC338">
        <v>158.9</v>
      </c>
      <c r="AD338">
        <v>163.80000000000001</v>
      </c>
      <c r="AE338">
        <v>169.3</v>
      </c>
      <c r="AF338">
        <v>162.4</v>
      </c>
      <c r="AG338">
        <v>165.2</v>
      </c>
      <c r="AH338">
        <v>167.6</v>
      </c>
      <c r="AI338" t="str">
        <f t="shared" si="29"/>
        <v>Yes</v>
      </c>
    </row>
    <row r="339" spans="1:35" x14ac:dyDescent="0.25">
      <c r="A339" t="s">
        <v>32</v>
      </c>
      <c r="B339">
        <v>2021</v>
      </c>
      <c r="C339">
        <v>11</v>
      </c>
      <c r="D339" s="13">
        <f t="shared" si="25"/>
        <v>44501</v>
      </c>
      <c r="E339">
        <v>151</v>
      </c>
      <c r="F339">
        <v>204.9</v>
      </c>
      <c r="G339">
        <v>175.4</v>
      </c>
      <c r="H339">
        <v>159.6</v>
      </c>
      <c r="I339">
        <v>175.8</v>
      </c>
      <c r="J339">
        <v>160.30000000000001</v>
      </c>
      <c r="K339">
        <v>229.1</v>
      </c>
      <c r="L339">
        <v>165.1</v>
      </c>
      <c r="M339">
        <v>123.1</v>
      </c>
      <c r="N339">
        <v>167.2</v>
      </c>
      <c r="O339">
        <v>156.1</v>
      </c>
      <c r="P339">
        <v>176.8</v>
      </c>
      <c r="Q339">
        <v>173.5</v>
      </c>
      <c r="R339" s="12">
        <f t="shared" si="26"/>
        <v>3.5820895522388062E-2</v>
      </c>
      <c r="S339">
        <v>197</v>
      </c>
      <c r="T339">
        <v>162.30000000000001</v>
      </c>
      <c r="U339">
        <v>145.30000000000001</v>
      </c>
      <c r="V339">
        <v>159.69999999999999</v>
      </c>
      <c r="W339">
        <v>164.2</v>
      </c>
      <c r="X339">
        <v>161.6</v>
      </c>
      <c r="Y339" s="12">
        <f t="shared" si="27"/>
        <v>-2.238354506957058E-2</v>
      </c>
      <c r="Z339">
        <v>155.19999999999999</v>
      </c>
      <c r="AA339">
        <v>164.2</v>
      </c>
      <c r="AB339" s="12">
        <f t="shared" si="28"/>
        <v>-5.3056516724336887E-2</v>
      </c>
      <c r="AC339">
        <v>151.19999999999999</v>
      </c>
      <c r="AD339">
        <v>156.69999999999999</v>
      </c>
      <c r="AE339">
        <v>160.80000000000001</v>
      </c>
      <c r="AF339">
        <v>161.80000000000001</v>
      </c>
      <c r="AG339">
        <v>157.30000000000001</v>
      </c>
      <c r="AH339">
        <v>165.6</v>
      </c>
      <c r="AI339" t="str">
        <f t="shared" si="29"/>
        <v>Yes</v>
      </c>
    </row>
    <row r="340" spans="1:35" x14ac:dyDescent="0.25">
      <c r="A340" t="s">
        <v>33</v>
      </c>
      <c r="B340">
        <v>2021</v>
      </c>
      <c r="C340">
        <v>11</v>
      </c>
      <c r="D340" s="13">
        <f t="shared" si="25"/>
        <v>44501</v>
      </c>
      <c r="E340">
        <v>148.19999999999999</v>
      </c>
      <c r="F340">
        <v>201.6</v>
      </c>
      <c r="G340">
        <v>173</v>
      </c>
      <c r="H340">
        <v>159.30000000000001</v>
      </c>
      <c r="I340">
        <v>190.1</v>
      </c>
      <c r="J340">
        <v>156.5</v>
      </c>
      <c r="K340">
        <v>199.2</v>
      </c>
      <c r="L340">
        <v>165.3</v>
      </c>
      <c r="M340">
        <v>122.4</v>
      </c>
      <c r="N340">
        <v>169.6</v>
      </c>
      <c r="O340">
        <v>163.69999999999999</v>
      </c>
      <c r="P340">
        <v>175.5</v>
      </c>
      <c r="Q340">
        <v>169.7</v>
      </c>
      <c r="R340" s="12">
        <f t="shared" si="26"/>
        <v>-2.1902017291066347E-2</v>
      </c>
      <c r="S340">
        <v>192.9</v>
      </c>
      <c r="T340">
        <v>167.2</v>
      </c>
      <c r="U340">
        <v>157.4</v>
      </c>
      <c r="V340">
        <v>165.8</v>
      </c>
      <c r="W340">
        <v>164.2</v>
      </c>
      <c r="X340">
        <v>163.9</v>
      </c>
      <c r="Y340" s="12">
        <f t="shared" si="27"/>
        <v>1.4232673267326804E-2</v>
      </c>
      <c r="Z340">
        <v>159.30000000000001</v>
      </c>
      <c r="AA340">
        <v>169.9</v>
      </c>
      <c r="AB340" s="12">
        <f t="shared" si="28"/>
        <v>3.4713763702801569E-2</v>
      </c>
      <c r="AC340">
        <v>154.80000000000001</v>
      </c>
      <c r="AD340">
        <v>159.80000000000001</v>
      </c>
      <c r="AE340">
        <v>164.3</v>
      </c>
      <c r="AF340">
        <v>162.19999999999999</v>
      </c>
      <c r="AG340">
        <v>161.4</v>
      </c>
      <c r="AH340">
        <v>166.7</v>
      </c>
      <c r="AI340" t="str">
        <f t="shared" si="29"/>
        <v>Yes</v>
      </c>
    </row>
    <row r="341" spans="1:35" x14ac:dyDescent="0.25">
      <c r="A341" t="s">
        <v>30</v>
      </c>
      <c r="B341">
        <v>2022</v>
      </c>
      <c r="C341">
        <v>11</v>
      </c>
      <c r="D341" s="13">
        <f t="shared" si="25"/>
        <v>44866</v>
      </c>
      <c r="E341">
        <v>166.9</v>
      </c>
      <c r="F341">
        <v>207.2</v>
      </c>
      <c r="G341">
        <v>180.2</v>
      </c>
      <c r="H341">
        <v>172.3</v>
      </c>
      <c r="I341">
        <v>194</v>
      </c>
      <c r="J341">
        <v>159.1</v>
      </c>
      <c r="K341">
        <v>171.6</v>
      </c>
      <c r="L341">
        <v>170.2</v>
      </c>
      <c r="M341">
        <v>121.5</v>
      </c>
      <c r="N341">
        <v>204.8</v>
      </c>
      <c r="O341">
        <v>176.4</v>
      </c>
      <c r="P341">
        <v>186.9</v>
      </c>
      <c r="Q341">
        <v>176.6</v>
      </c>
      <c r="R341" s="12">
        <f t="shared" si="26"/>
        <v>4.0659988214496207E-2</v>
      </c>
      <c r="S341">
        <v>195.5</v>
      </c>
      <c r="T341">
        <v>187.2</v>
      </c>
      <c r="U341">
        <v>185.2</v>
      </c>
      <c r="V341">
        <v>186.9</v>
      </c>
      <c r="W341" t="s">
        <v>31</v>
      </c>
      <c r="X341">
        <v>181.9</v>
      </c>
      <c r="Y341" s="12">
        <f t="shared" si="27"/>
        <v>0.10982306284319707</v>
      </c>
      <c r="Z341">
        <v>175.5</v>
      </c>
      <c r="AA341">
        <v>182.3</v>
      </c>
      <c r="AB341" s="12">
        <f t="shared" si="28"/>
        <v>7.2984108298999442E-2</v>
      </c>
      <c r="AC341">
        <v>167.5</v>
      </c>
      <c r="AD341">
        <v>170.8</v>
      </c>
      <c r="AE341">
        <v>176.9</v>
      </c>
      <c r="AF341">
        <v>173.4</v>
      </c>
      <c r="AG341">
        <v>174.6</v>
      </c>
      <c r="AH341">
        <v>177.8</v>
      </c>
      <c r="AI341" t="str">
        <f t="shared" si="29"/>
        <v>Yes</v>
      </c>
    </row>
    <row r="342" spans="1:35" x14ac:dyDescent="0.25">
      <c r="A342" t="s">
        <v>32</v>
      </c>
      <c r="B342">
        <v>2022</v>
      </c>
      <c r="C342">
        <v>11</v>
      </c>
      <c r="D342" s="13">
        <f t="shared" si="25"/>
        <v>44866</v>
      </c>
      <c r="E342">
        <v>168.4</v>
      </c>
      <c r="F342">
        <v>213.4</v>
      </c>
      <c r="G342">
        <v>183.2</v>
      </c>
      <c r="H342">
        <v>172.3</v>
      </c>
      <c r="I342">
        <v>180</v>
      </c>
      <c r="J342">
        <v>162.6</v>
      </c>
      <c r="K342">
        <v>205.5</v>
      </c>
      <c r="L342">
        <v>171</v>
      </c>
      <c r="M342">
        <v>123.4</v>
      </c>
      <c r="N342">
        <v>198.8</v>
      </c>
      <c r="O342">
        <v>162.1</v>
      </c>
      <c r="P342">
        <v>192.4</v>
      </c>
      <c r="Q342">
        <v>181.3</v>
      </c>
      <c r="R342" s="12">
        <f t="shared" si="26"/>
        <v>2.6613816534541434E-2</v>
      </c>
      <c r="S342">
        <v>200.6</v>
      </c>
      <c r="T342">
        <v>176.7</v>
      </c>
      <c r="U342">
        <v>163.5</v>
      </c>
      <c r="V342">
        <v>174.7</v>
      </c>
      <c r="W342">
        <v>171.8</v>
      </c>
      <c r="X342">
        <v>180.3</v>
      </c>
      <c r="Y342" s="12">
        <f t="shared" si="27"/>
        <v>-8.7960417811984298E-3</v>
      </c>
      <c r="Z342">
        <v>166.9</v>
      </c>
      <c r="AA342">
        <v>175.8</v>
      </c>
      <c r="AB342" s="12">
        <f t="shared" si="28"/>
        <v>-3.5655512890839271E-2</v>
      </c>
      <c r="AC342">
        <v>158.9</v>
      </c>
      <c r="AD342">
        <v>166.7</v>
      </c>
      <c r="AE342">
        <v>171.5</v>
      </c>
      <c r="AF342">
        <v>173.8</v>
      </c>
      <c r="AG342">
        <v>167.4</v>
      </c>
      <c r="AH342">
        <v>174.1</v>
      </c>
      <c r="AI342" t="str">
        <f t="shared" si="29"/>
        <v>Yes</v>
      </c>
    </row>
    <row r="343" spans="1:35" x14ac:dyDescent="0.25">
      <c r="A343" t="s">
        <v>33</v>
      </c>
      <c r="B343">
        <v>2022</v>
      </c>
      <c r="C343">
        <v>11</v>
      </c>
      <c r="D343" s="13">
        <f t="shared" si="25"/>
        <v>44866</v>
      </c>
      <c r="E343">
        <v>167.4</v>
      </c>
      <c r="F343">
        <v>209.4</v>
      </c>
      <c r="G343">
        <v>181.4</v>
      </c>
      <c r="H343">
        <v>172.3</v>
      </c>
      <c r="I343">
        <v>188.9</v>
      </c>
      <c r="J343">
        <v>160.69999999999999</v>
      </c>
      <c r="K343">
        <v>183.1</v>
      </c>
      <c r="L343">
        <v>170.5</v>
      </c>
      <c r="M343">
        <v>122.1</v>
      </c>
      <c r="N343">
        <v>202.8</v>
      </c>
      <c r="O343">
        <v>170.4</v>
      </c>
      <c r="P343">
        <v>189.5</v>
      </c>
      <c r="Q343">
        <v>178.3</v>
      </c>
      <c r="R343" s="12">
        <f t="shared" si="26"/>
        <v>-1.6547159404302261E-2</v>
      </c>
      <c r="S343">
        <v>196.9</v>
      </c>
      <c r="T343">
        <v>183.1</v>
      </c>
      <c r="U343">
        <v>176.2</v>
      </c>
      <c r="V343">
        <v>182.1</v>
      </c>
      <c r="W343">
        <v>171.8</v>
      </c>
      <c r="X343">
        <v>181.3</v>
      </c>
      <c r="Y343" s="12">
        <f t="shared" si="27"/>
        <v>5.5463117027176921E-3</v>
      </c>
      <c r="Z343">
        <v>171.4</v>
      </c>
      <c r="AA343">
        <v>179.8</v>
      </c>
      <c r="AB343" s="12">
        <f t="shared" si="28"/>
        <v>2.2753128555176336E-2</v>
      </c>
      <c r="AC343">
        <v>163</v>
      </c>
      <c r="AD343">
        <v>168.5</v>
      </c>
      <c r="AE343">
        <v>173.7</v>
      </c>
      <c r="AF343">
        <v>173.6</v>
      </c>
      <c r="AG343">
        <v>171.1</v>
      </c>
      <c r="AH343">
        <v>176.5</v>
      </c>
      <c r="AI343" t="str">
        <f t="shared" si="29"/>
        <v>Yes</v>
      </c>
    </row>
    <row r="344" spans="1:35" x14ac:dyDescent="0.25">
      <c r="A344" t="s">
        <v>30</v>
      </c>
      <c r="B344">
        <v>2013</v>
      </c>
      <c r="C344">
        <v>12</v>
      </c>
      <c r="D344" s="13">
        <f t="shared" si="25"/>
        <v>41609</v>
      </c>
      <c r="E344">
        <v>118.4</v>
      </c>
      <c r="F344">
        <v>115.9</v>
      </c>
      <c r="G344">
        <v>120.4</v>
      </c>
      <c r="H344">
        <v>113.8</v>
      </c>
      <c r="I344">
        <v>109.5</v>
      </c>
      <c r="J344">
        <v>115.5</v>
      </c>
      <c r="K344">
        <v>145.69999999999999</v>
      </c>
      <c r="L344">
        <v>109.5</v>
      </c>
      <c r="M344">
        <v>102.9</v>
      </c>
      <c r="N344">
        <v>109.8</v>
      </c>
      <c r="O344">
        <v>112.1</v>
      </c>
      <c r="P344">
        <v>116.8</v>
      </c>
      <c r="Q344">
        <v>118.7</v>
      </c>
      <c r="R344" s="12">
        <f t="shared" si="26"/>
        <v>-0.33426808749298936</v>
      </c>
      <c r="S344">
        <v>113.6</v>
      </c>
      <c r="T344">
        <v>115.8</v>
      </c>
      <c r="U344">
        <v>114</v>
      </c>
      <c r="V344">
        <v>115.5</v>
      </c>
      <c r="W344" t="s">
        <v>31</v>
      </c>
      <c r="X344">
        <v>112.8</v>
      </c>
      <c r="Y344" s="12">
        <f t="shared" si="27"/>
        <v>-0.37782680639823502</v>
      </c>
      <c r="Z344">
        <v>112.1</v>
      </c>
      <c r="AA344">
        <v>110.1</v>
      </c>
      <c r="AB344" s="12">
        <f t="shared" si="28"/>
        <v>-0.38765294771968861</v>
      </c>
      <c r="AC344">
        <v>109.9</v>
      </c>
      <c r="AD344">
        <v>109.2</v>
      </c>
      <c r="AE344">
        <v>111.6</v>
      </c>
      <c r="AF344">
        <v>108.1</v>
      </c>
      <c r="AG344">
        <v>110.1</v>
      </c>
      <c r="AH344">
        <v>115.5</v>
      </c>
      <c r="AI344" t="str">
        <f t="shared" si="29"/>
        <v>No</v>
      </c>
    </row>
    <row r="345" spans="1:35" x14ac:dyDescent="0.25">
      <c r="A345" t="s">
        <v>32</v>
      </c>
      <c r="B345">
        <v>2013</v>
      </c>
      <c r="C345">
        <v>12</v>
      </c>
      <c r="D345" s="13">
        <f t="shared" si="25"/>
        <v>41609</v>
      </c>
      <c r="E345">
        <v>120.5</v>
      </c>
      <c r="F345">
        <v>118.1</v>
      </c>
      <c r="G345">
        <v>128.5</v>
      </c>
      <c r="H345">
        <v>112.8</v>
      </c>
      <c r="I345">
        <v>103.4</v>
      </c>
      <c r="J345">
        <v>110.7</v>
      </c>
      <c r="K345">
        <v>144.80000000000001</v>
      </c>
      <c r="L345">
        <v>107.1</v>
      </c>
      <c r="M345">
        <v>98.6</v>
      </c>
      <c r="N345">
        <v>111.9</v>
      </c>
      <c r="O345">
        <v>112.1</v>
      </c>
      <c r="P345">
        <v>118.1</v>
      </c>
      <c r="Q345">
        <v>117.8</v>
      </c>
      <c r="R345" s="12">
        <f t="shared" si="26"/>
        <v>-7.5821398483572507E-3</v>
      </c>
      <c r="S345">
        <v>115</v>
      </c>
      <c r="T345">
        <v>114.2</v>
      </c>
      <c r="U345">
        <v>110.9</v>
      </c>
      <c r="V345">
        <v>113.7</v>
      </c>
      <c r="W345">
        <v>110.7</v>
      </c>
      <c r="X345">
        <v>110.4</v>
      </c>
      <c r="Y345" s="12">
        <f t="shared" si="27"/>
        <v>-2.1276595744680778E-2</v>
      </c>
      <c r="Z345">
        <v>111.3</v>
      </c>
      <c r="AA345">
        <v>109</v>
      </c>
      <c r="AB345" s="12">
        <f t="shared" si="28"/>
        <v>-9.9909173478655248E-3</v>
      </c>
      <c r="AC345">
        <v>109.7</v>
      </c>
      <c r="AD345">
        <v>108.9</v>
      </c>
      <c r="AE345">
        <v>111.4</v>
      </c>
      <c r="AF345">
        <v>107.7</v>
      </c>
      <c r="AG345">
        <v>109.8</v>
      </c>
      <c r="AH345">
        <v>113.3</v>
      </c>
      <c r="AI345" t="str">
        <f t="shared" si="29"/>
        <v>No</v>
      </c>
    </row>
    <row r="346" spans="1:35" x14ac:dyDescent="0.25">
      <c r="A346" t="s">
        <v>33</v>
      </c>
      <c r="B346">
        <v>2013</v>
      </c>
      <c r="C346">
        <v>12</v>
      </c>
      <c r="D346" s="13">
        <f t="shared" si="25"/>
        <v>41609</v>
      </c>
      <c r="E346">
        <v>119.1</v>
      </c>
      <c r="F346">
        <v>116.7</v>
      </c>
      <c r="G346">
        <v>123.5</v>
      </c>
      <c r="H346">
        <v>113.4</v>
      </c>
      <c r="I346">
        <v>107.3</v>
      </c>
      <c r="J346">
        <v>113.3</v>
      </c>
      <c r="K346">
        <v>145.4</v>
      </c>
      <c r="L346">
        <v>108.7</v>
      </c>
      <c r="M346">
        <v>101.5</v>
      </c>
      <c r="N346">
        <v>110.5</v>
      </c>
      <c r="O346">
        <v>112.1</v>
      </c>
      <c r="P346">
        <v>117.4</v>
      </c>
      <c r="Q346">
        <v>118.4</v>
      </c>
      <c r="R346" s="12">
        <f t="shared" si="26"/>
        <v>5.0933786078099196E-3</v>
      </c>
      <c r="S346">
        <v>114</v>
      </c>
      <c r="T346">
        <v>115.2</v>
      </c>
      <c r="U346">
        <v>112.7</v>
      </c>
      <c r="V346">
        <v>114.8</v>
      </c>
      <c r="W346">
        <v>110.7</v>
      </c>
      <c r="X346">
        <v>111.9</v>
      </c>
      <c r="Y346" s="12">
        <f t="shared" si="27"/>
        <v>1.358695652173913E-2</v>
      </c>
      <c r="Z346">
        <v>111.7</v>
      </c>
      <c r="AA346">
        <v>109.7</v>
      </c>
      <c r="AB346" s="12">
        <f t="shared" si="28"/>
        <v>6.4220183486238796E-3</v>
      </c>
      <c r="AC346">
        <v>109.8</v>
      </c>
      <c r="AD346">
        <v>109</v>
      </c>
      <c r="AE346">
        <v>111.5</v>
      </c>
      <c r="AF346">
        <v>107.9</v>
      </c>
      <c r="AG346">
        <v>110</v>
      </c>
      <c r="AH346">
        <v>114.5</v>
      </c>
      <c r="AI346" t="str">
        <f t="shared" si="29"/>
        <v>No</v>
      </c>
    </row>
    <row r="347" spans="1:35" x14ac:dyDescent="0.25">
      <c r="A347" t="s">
        <v>30</v>
      </c>
      <c r="B347">
        <v>2014</v>
      </c>
      <c r="C347">
        <v>12</v>
      </c>
      <c r="D347" s="13">
        <f t="shared" si="25"/>
        <v>41974</v>
      </c>
      <c r="E347">
        <v>122.4</v>
      </c>
      <c r="F347">
        <v>122.4</v>
      </c>
      <c r="G347">
        <v>121.8</v>
      </c>
      <c r="H347">
        <v>124.2</v>
      </c>
      <c r="I347">
        <v>110.2</v>
      </c>
      <c r="J347">
        <v>128.6</v>
      </c>
      <c r="K347">
        <v>140.30000000000001</v>
      </c>
      <c r="L347">
        <v>116.3</v>
      </c>
      <c r="M347">
        <v>102</v>
      </c>
      <c r="N347">
        <v>116</v>
      </c>
      <c r="O347">
        <v>117.3</v>
      </c>
      <c r="P347">
        <v>124.8</v>
      </c>
      <c r="Q347">
        <v>123.3</v>
      </c>
      <c r="R347" s="12">
        <f t="shared" si="26"/>
        <v>4.1385135135135059E-2</v>
      </c>
      <c r="S347">
        <v>121.7</v>
      </c>
      <c r="T347">
        <v>123.8</v>
      </c>
      <c r="U347">
        <v>120.6</v>
      </c>
      <c r="V347">
        <v>123.3</v>
      </c>
      <c r="W347" t="s">
        <v>31</v>
      </c>
      <c r="X347">
        <v>117.4</v>
      </c>
      <c r="Y347" s="12">
        <f t="shared" si="27"/>
        <v>4.9151027703306524E-2</v>
      </c>
      <c r="Z347">
        <v>118.2</v>
      </c>
      <c r="AA347">
        <v>116.2</v>
      </c>
      <c r="AB347" s="12">
        <f t="shared" si="28"/>
        <v>5.9252506836827708E-2</v>
      </c>
      <c r="AC347">
        <v>111.5</v>
      </c>
      <c r="AD347">
        <v>113.3</v>
      </c>
      <c r="AE347">
        <v>117.7</v>
      </c>
      <c r="AF347">
        <v>109.4</v>
      </c>
      <c r="AG347">
        <v>114.2</v>
      </c>
      <c r="AH347">
        <v>120.3</v>
      </c>
      <c r="AI347" t="str">
        <f t="shared" si="29"/>
        <v>No</v>
      </c>
    </row>
    <row r="348" spans="1:35" x14ac:dyDescent="0.25">
      <c r="A348" t="s">
        <v>32</v>
      </c>
      <c r="B348">
        <v>2014</v>
      </c>
      <c r="C348">
        <v>12</v>
      </c>
      <c r="D348" s="13">
        <f t="shared" si="25"/>
        <v>41974</v>
      </c>
      <c r="E348">
        <v>124</v>
      </c>
      <c r="F348">
        <v>124.7</v>
      </c>
      <c r="G348">
        <v>126.3</v>
      </c>
      <c r="H348">
        <v>124.9</v>
      </c>
      <c r="I348">
        <v>103</v>
      </c>
      <c r="J348">
        <v>122.3</v>
      </c>
      <c r="K348">
        <v>141</v>
      </c>
      <c r="L348">
        <v>120.1</v>
      </c>
      <c r="M348">
        <v>97.8</v>
      </c>
      <c r="N348">
        <v>125.4</v>
      </c>
      <c r="O348">
        <v>116.1</v>
      </c>
      <c r="P348">
        <v>127.6</v>
      </c>
      <c r="Q348">
        <v>124</v>
      </c>
      <c r="R348" s="12">
        <f t="shared" si="26"/>
        <v>5.6772100567721237E-3</v>
      </c>
      <c r="S348">
        <v>126.4</v>
      </c>
      <c r="T348">
        <v>120.7</v>
      </c>
      <c r="U348">
        <v>115.8</v>
      </c>
      <c r="V348">
        <v>120</v>
      </c>
      <c r="W348">
        <v>116.5</v>
      </c>
      <c r="X348">
        <v>113</v>
      </c>
      <c r="Y348" s="12">
        <f t="shared" si="27"/>
        <v>-3.747870528109034E-2</v>
      </c>
      <c r="Z348">
        <v>116.8</v>
      </c>
      <c r="AA348">
        <v>113.2</v>
      </c>
      <c r="AB348" s="12">
        <f t="shared" si="28"/>
        <v>-2.5817555938037865E-2</v>
      </c>
      <c r="AC348">
        <v>108.8</v>
      </c>
      <c r="AD348">
        <v>114.3</v>
      </c>
      <c r="AE348">
        <v>120.7</v>
      </c>
      <c r="AF348">
        <v>110.4</v>
      </c>
      <c r="AG348">
        <v>113.4</v>
      </c>
      <c r="AH348">
        <v>118.4</v>
      </c>
      <c r="AI348" t="str">
        <f t="shared" si="29"/>
        <v>No</v>
      </c>
    </row>
    <row r="349" spans="1:35" x14ac:dyDescent="0.25">
      <c r="A349" t="s">
        <v>33</v>
      </c>
      <c r="B349">
        <v>2014</v>
      </c>
      <c r="C349">
        <v>12</v>
      </c>
      <c r="D349" s="13">
        <f t="shared" si="25"/>
        <v>41974</v>
      </c>
      <c r="E349">
        <v>122.9</v>
      </c>
      <c r="F349">
        <v>123.2</v>
      </c>
      <c r="G349">
        <v>123.5</v>
      </c>
      <c r="H349">
        <v>124.5</v>
      </c>
      <c r="I349">
        <v>107.6</v>
      </c>
      <c r="J349">
        <v>125.7</v>
      </c>
      <c r="K349">
        <v>140.5</v>
      </c>
      <c r="L349">
        <v>117.6</v>
      </c>
      <c r="M349">
        <v>100.6</v>
      </c>
      <c r="N349">
        <v>119.1</v>
      </c>
      <c r="O349">
        <v>116.8</v>
      </c>
      <c r="P349">
        <v>126.1</v>
      </c>
      <c r="Q349">
        <v>123.6</v>
      </c>
      <c r="R349" s="12">
        <f t="shared" si="26"/>
        <v>-3.2258064516129492E-3</v>
      </c>
      <c r="S349">
        <v>123</v>
      </c>
      <c r="T349">
        <v>122.6</v>
      </c>
      <c r="U349">
        <v>118.6</v>
      </c>
      <c r="V349">
        <v>122</v>
      </c>
      <c r="W349">
        <v>116.5</v>
      </c>
      <c r="X349">
        <v>115.7</v>
      </c>
      <c r="Y349" s="12">
        <f t="shared" si="27"/>
        <v>2.3893805309734537E-2</v>
      </c>
      <c r="Z349">
        <v>117.5</v>
      </c>
      <c r="AA349">
        <v>115.1</v>
      </c>
      <c r="AB349" s="12">
        <f t="shared" si="28"/>
        <v>1.6784452296819713E-2</v>
      </c>
      <c r="AC349">
        <v>110.1</v>
      </c>
      <c r="AD349">
        <v>113.9</v>
      </c>
      <c r="AE349">
        <v>119.5</v>
      </c>
      <c r="AF349">
        <v>109.8</v>
      </c>
      <c r="AG349">
        <v>113.8</v>
      </c>
      <c r="AH349">
        <v>119.4</v>
      </c>
      <c r="AI349" t="str">
        <f t="shared" si="29"/>
        <v>No</v>
      </c>
    </row>
    <row r="350" spans="1:35" x14ac:dyDescent="0.25">
      <c r="A350" t="s">
        <v>30</v>
      </c>
      <c r="B350">
        <v>2015</v>
      </c>
      <c r="C350">
        <v>12</v>
      </c>
      <c r="D350" s="13">
        <f t="shared" si="25"/>
        <v>42339</v>
      </c>
      <c r="E350">
        <v>126.3</v>
      </c>
      <c r="F350">
        <v>131.30000000000001</v>
      </c>
      <c r="G350">
        <v>123.3</v>
      </c>
      <c r="H350">
        <v>129.80000000000001</v>
      </c>
      <c r="I350">
        <v>118.3</v>
      </c>
      <c r="J350">
        <v>131.6</v>
      </c>
      <c r="K350">
        <v>145.5</v>
      </c>
      <c r="L350">
        <v>162.1</v>
      </c>
      <c r="M350">
        <v>95.4</v>
      </c>
      <c r="N350">
        <v>128.9</v>
      </c>
      <c r="O350">
        <v>123.3</v>
      </c>
      <c r="P350">
        <v>135.1</v>
      </c>
      <c r="Q350">
        <v>131.4</v>
      </c>
      <c r="R350" s="12">
        <f t="shared" si="26"/>
        <v>6.3106796116504951E-2</v>
      </c>
      <c r="S350">
        <v>133.1</v>
      </c>
      <c r="T350">
        <v>132.5</v>
      </c>
      <c r="U350">
        <v>128.5</v>
      </c>
      <c r="V350">
        <v>131.9</v>
      </c>
      <c r="W350" t="s">
        <v>31</v>
      </c>
      <c r="X350">
        <v>125.7</v>
      </c>
      <c r="Y350" s="12">
        <f t="shared" si="27"/>
        <v>8.6430423509075191E-2</v>
      </c>
      <c r="Z350">
        <v>126</v>
      </c>
      <c r="AA350">
        <v>123.1</v>
      </c>
      <c r="AB350" s="12">
        <f t="shared" si="28"/>
        <v>6.9504778453518684E-2</v>
      </c>
      <c r="AC350">
        <v>114</v>
      </c>
      <c r="AD350">
        <v>121.6</v>
      </c>
      <c r="AE350">
        <v>125.6</v>
      </c>
      <c r="AF350">
        <v>114.1</v>
      </c>
      <c r="AG350">
        <v>119.8</v>
      </c>
      <c r="AH350">
        <v>127.9</v>
      </c>
      <c r="AI350" t="str">
        <f t="shared" si="29"/>
        <v>No</v>
      </c>
    </row>
    <row r="351" spans="1:35" x14ac:dyDescent="0.25">
      <c r="A351" t="s">
        <v>32</v>
      </c>
      <c r="B351">
        <v>2015</v>
      </c>
      <c r="C351">
        <v>12</v>
      </c>
      <c r="D351" s="13">
        <f t="shared" si="25"/>
        <v>42339</v>
      </c>
      <c r="E351">
        <v>124.3</v>
      </c>
      <c r="F351">
        <v>131.69999999999999</v>
      </c>
      <c r="G351">
        <v>127.1</v>
      </c>
      <c r="H351">
        <v>128.6</v>
      </c>
      <c r="I351">
        <v>110</v>
      </c>
      <c r="J351">
        <v>120.8</v>
      </c>
      <c r="K351">
        <v>149</v>
      </c>
      <c r="L351">
        <v>190.1</v>
      </c>
      <c r="M351">
        <v>92.7</v>
      </c>
      <c r="N351">
        <v>138.6</v>
      </c>
      <c r="O351">
        <v>120.2</v>
      </c>
      <c r="P351">
        <v>134.19999999999999</v>
      </c>
      <c r="Q351">
        <v>131.5</v>
      </c>
      <c r="R351" s="12">
        <f t="shared" si="26"/>
        <v>7.6103500761030677E-4</v>
      </c>
      <c r="S351">
        <v>138.19999999999999</v>
      </c>
      <c r="T351">
        <v>125.4</v>
      </c>
      <c r="U351">
        <v>119.5</v>
      </c>
      <c r="V351">
        <v>124.5</v>
      </c>
      <c r="W351">
        <v>122.4</v>
      </c>
      <c r="X351">
        <v>116</v>
      </c>
      <c r="Y351" s="12">
        <f t="shared" si="27"/>
        <v>-7.7167859984089121E-2</v>
      </c>
      <c r="Z351">
        <v>121</v>
      </c>
      <c r="AA351">
        <v>118.6</v>
      </c>
      <c r="AB351" s="12">
        <f t="shared" si="28"/>
        <v>-3.6555645816409424E-2</v>
      </c>
      <c r="AC351">
        <v>109.3</v>
      </c>
      <c r="AD351">
        <v>118.1</v>
      </c>
      <c r="AE351">
        <v>126.6</v>
      </c>
      <c r="AF351">
        <v>113.2</v>
      </c>
      <c r="AG351">
        <v>116.7</v>
      </c>
      <c r="AH351">
        <v>124</v>
      </c>
      <c r="AI351" t="str">
        <f t="shared" si="29"/>
        <v>No</v>
      </c>
    </row>
    <row r="352" spans="1:35" x14ac:dyDescent="0.25">
      <c r="A352" t="s">
        <v>33</v>
      </c>
      <c r="B352">
        <v>2015</v>
      </c>
      <c r="C352">
        <v>12</v>
      </c>
      <c r="D352" s="13">
        <f t="shared" si="25"/>
        <v>42339</v>
      </c>
      <c r="E352">
        <v>125.7</v>
      </c>
      <c r="F352">
        <v>131.4</v>
      </c>
      <c r="G352">
        <v>124.8</v>
      </c>
      <c r="H352">
        <v>129.4</v>
      </c>
      <c r="I352">
        <v>115.3</v>
      </c>
      <c r="J352">
        <v>126.6</v>
      </c>
      <c r="K352">
        <v>146.69999999999999</v>
      </c>
      <c r="L352">
        <v>171.5</v>
      </c>
      <c r="M352">
        <v>94.5</v>
      </c>
      <c r="N352">
        <v>132.1</v>
      </c>
      <c r="O352">
        <v>122</v>
      </c>
      <c r="P352">
        <v>134.69999999999999</v>
      </c>
      <c r="Q352">
        <v>131.4</v>
      </c>
      <c r="R352" s="12">
        <f t="shared" si="26"/>
        <v>-7.6045627376421536E-4</v>
      </c>
      <c r="S352">
        <v>134.5</v>
      </c>
      <c r="T352">
        <v>129.69999999999999</v>
      </c>
      <c r="U352">
        <v>124.8</v>
      </c>
      <c r="V352">
        <v>129</v>
      </c>
      <c r="W352">
        <v>122.4</v>
      </c>
      <c r="X352">
        <v>122</v>
      </c>
      <c r="Y352" s="12">
        <f t="shared" si="27"/>
        <v>5.1724137931034482E-2</v>
      </c>
      <c r="Z352">
        <v>123.6</v>
      </c>
      <c r="AA352">
        <v>121.4</v>
      </c>
      <c r="AB352" s="12">
        <f t="shared" si="28"/>
        <v>2.3608768971332305E-2</v>
      </c>
      <c r="AC352">
        <v>111.5</v>
      </c>
      <c r="AD352">
        <v>119.6</v>
      </c>
      <c r="AE352">
        <v>126.2</v>
      </c>
      <c r="AF352">
        <v>113.7</v>
      </c>
      <c r="AG352">
        <v>118.3</v>
      </c>
      <c r="AH352">
        <v>126.1</v>
      </c>
      <c r="AI352" t="str">
        <f t="shared" si="29"/>
        <v>No</v>
      </c>
    </row>
    <row r="353" spans="1:35" x14ac:dyDescent="0.25">
      <c r="A353" t="s">
        <v>30</v>
      </c>
      <c r="B353">
        <v>2016</v>
      </c>
      <c r="C353">
        <v>12</v>
      </c>
      <c r="D353" s="13">
        <f t="shared" si="25"/>
        <v>42705</v>
      </c>
      <c r="E353">
        <v>132.6</v>
      </c>
      <c r="F353">
        <v>137.30000000000001</v>
      </c>
      <c r="G353">
        <v>131.6</v>
      </c>
      <c r="H353">
        <v>136.30000000000001</v>
      </c>
      <c r="I353">
        <v>121.6</v>
      </c>
      <c r="J353">
        <v>135.6</v>
      </c>
      <c r="K353">
        <v>127.5</v>
      </c>
      <c r="L353">
        <v>167.9</v>
      </c>
      <c r="M353">
        <v>113.8</v>
      </c>
      <c r="N353">
        <v>137.5</v>
      </c>
      <c r="O353">
        <v>129.1</v>
      </c>
      <c r="P353">
        <v>143.6</v>
      </c>
      <c r="Q353">
        <v>134.69999999999999</v>
      </c>
      <c r="R353" s="12">
        <f t="shared" si="26"/>
        <v>2.5114155251141423E-2</v>
      </c>
      <c r="S353">
        <v>142.4</v>
      </c>
      <c r="T353">
        <v>140.4</v>
      </c>
      <c r="U353">
        <v>135.19999999999999</v>
      </c>
      <c r="V353">
        <v>139.69999999999999</v>
      </c>
      <c r="W353" t="s">
        <v>31</v>
      </c>
      <c r="X353">
        <v>132</v>
      </c>
      <c r="Y353" s="12">
        <f t="shared" si="27"/>
        <v>8.1967213114754092E-2</v>
      </c>
      <c r="Z353">
        <v>132.9</v>
      </c>
      <c r="AA353">
        <v>129.69999999999999</v>
      </c>
      <c r="AB353" s="12">
        <f t="shared" si="28"/>
        <v>6.8369028006589644E-2</v>
      </c>
      <c r="AC353">
        <v>118.6</v>
      </c>
      <c r="AD353">
        <v>127.3</v>
      </c>
      <c r="AE353">
        <v>134.19999999999999</v>
      </c>
      <c r="AF353">
        <v>121.9</v>
      </c>
      <c r="AG353">
        <v>126.3</v>
      </c>
      <c r="AH353">
        <v>132.80000000000001</v>
      </c>
      <c r="AI353" t="str">
        <f t="shared" si="29"/>
        <v>No</v>
      </c>
    </row>
    <row r="354" spans="1:35" x14ac:dyDescent="0.25">
      <c r="A354" t="s">
        <v>32</v>
      </c>
      <c r="B354">
        <v>2016</v>
      </c>
      <c r="C354">
        <v>12</v>
      </c>
      <c r="D354" s="13">
        <f t="shared" si="25"/>
        <v>42705</v>
      </c>
      <c r="E354">
        <v>131.6</v>
      </c>
      <c r="F354">
        <v>138.19999999999999</v>
      </c>
      <c r="G354">
        <v>134.9</v>
      </c>
      <c r="H354">
        <v>133.1</v>
      </c>
      <c r="I354">
        <v>113.5</v>
      </c>
      <c r="J354">
        <v>129.30000000000001</v>
      </c>
      <c r="K354">
        <v>121.1</v>
      </c>
      <c r="L354">
        <v>170.3</v>
      </c>
      <c r="M354">
        <v>115.5</v>
      </c>
      <c r="N354">
        <v>145.5</v>
      </c>
      <c r="O354">
        <v>123.1</v>
      </c>
      <c r="P354">
        <v>140.9</v>
      </c>
      <c r="Q354">
        <v>132.80000000000001</v>
      </c>
      <c r="R354" s="12">
        <f t="shared" si="26"/>
        <v>-1.4105419450630863E-2</v>
      </c>
      <c r="S354">
        <v>145</v>
      </c>
      <c r="T354">
        <v>130</v>
      </c>
      <c r="U354">
        <v>122.2</v>
      </c>
      <c r="V354">
        <v>128.80000000000001</v>
      </c>
      <c r="W354">
        <v>128.5</v>
      </c>
      <c r="X354">
        <v>117.8</v>
      </c>
      <c r="Y354" s="12">
        <f t="shared" si="27"/>
        <v>-0.1075757575757576</v>
      </c>
      <c r="Z354">
        <v>125</v>
      </c>
      <c r="AA354">
        <v>122.3</v>
      </c>
      <c r="AB354" s="12">
        <f t="shared" si="28"/>
        <v>-5.7054741711642189E-2</v>
      </c>
      <c r="AC354">
        <v>113.7</v>
      </c>
      <c r="AD354">
        <v>121.8</v>
      </c>
      <c r="AE354">
        <v>132.30000000000001</v>
      </c>
      <c r="AF354">
        <v>119.9</v>
      </c>
      <c r="AG354">
        <v>121.4</v>
      </c>
      <c r="AH354">
        <v>127.6</v>
      </c>
      <c r="AI354" t="str">
        <f t="shared" si="29"/>
        <v>No</v>
      </c>
    </row>
    <row r="355" spans="1:35" x14ac:dyDescent="0.25">
      <c r="A355" t="s">
        <v>33</v>
      </c>
      <c r="B355">
        <v>2016</v>
      </c>
      <c r="C355">
        <v>12</v>
      </c>
      <c r="D355" s="13">
        <f t="shared" si="25"/>
        <v>42705</v>
      </c>
      <c r="E355">
        <v>132.30000000000001</v>
      </c>
      <c r="F355">
        <v>137.6</v>
      </c>
      <c r="G355">
        <v>132.9</v>
      </c>
      <c r="H355">
        <v>135.1</v>
      </c>
      <c r="I355">
        <v>118.6</v>
      </c>
      <c r="J355">
        <v>132.69999999999999</v>
      </c>
      <c r="K355">
        <v>125.3</v>
      </c>
      <c r="L355">
        <v>168.7</v>
      </c>
      <c r="M355">
        <v>114.4</v>
      </c>
      <c r="N355">
        <v>140.19999999999999</v>
      </c>
      <c r="O355">
        <v>126.6</v>
      </c>
      <c r="P355">
        <v>142.30000000000001</v>
      </c>
      <c r="Q355">
        <v>134</v>
      </c>
      <c r="R355" s="12">
        <f t="shared" si="26"/>
        <v>9.0361445783131659E-3</v>
      </c>
      <c r="S355">
        <v>143.1</v>
      </c>
      <c r="T355">
        <v>136.30000000000001</v>
      </c>
      <c r="U355">
        <v>129.80000000000001</v>
      </c>
      <c r="V355">
        <v>135.4</v>
      </c>
      <c r="W355">
        <v>128.5</v>
      </c>
      <c r="X355">
        <v>126.6</v>
      </c>
      <c r="Y355" s="12">
        <f t="shared" si="27"/>
        <v>7.4702886247877742E-2</v>
      </c>
      <c r="Z355">
        <v>129.19999999999999</v>
      </c>
      <c r="AA355">
        <v>126.9</v>
      </c>
      <c r="AB355" s="12">
        <f t="shared" si="28"/>
        <v>3.7612428454619859E-2</v>
      </c>
      <c r="AC355">
        <v>116</v>
      </c>
      <c r="AD355">
        <v>124.2</v>
      </c>
      <c r="AE355">
        <v>133.1</v>
      </c>
      <c r="AF355">
        <v>121.1</v>
      </c>
      <c r="AG355">
        <v>123.9</v>
      </c>
      <c r="AH355">
        <v>130.4</v>
      </c>
      <c r="AI355" t="str">
        <f t="shared" si="29"/>
        <v>No</v>
      </c>
    </row>
    <row r="356" spans="1:35" x14ac:dyDescent="0.25">
      <c r="A356" t="s">
        <v>30</v>
      </c>
      <c r="B356">
        <v>2017</v>
      </c>
      <c r="C356">
        <v>12</v>
      </c>
      <c r="D356" s="13">
        <f t="shared" si="25"/>
        <v>43070</v>
      </c>
      <c r="E356">
        <v>136.4</v>
      </c>
      <c r="F356">
        <v>143.69999999999999</v>
      </c>
      <c r="G356">
        <v>144.80000000000001</v>
      </c>
      <c r="H356">
        <v>141.9</v>
      </c>
      <c r="I356">
        <v>123.1</v>
      </c>
      <c r="J356">
        <v>147.19999999999999</v>
      </c>
      <c r="K356">
        <v>161</v>
      </c>
      <c r="L356">
        <v>133.80000000000001</v>
      </c>
      <c r="M356">
        <v>121.9</v>
      </c>
      <c r="N356">
        <v>135.80000000000001</v>
      </c>
      <c r="O356">
        <v>131.1</v>
      </c>
      <c r="P356">
        <v>151.4</v>
      </c>
      <c r="Q356">
        <v>141.5</v>
      </c>
      <c r="R356" s="12">
        <f t="shared" si="26"/>
        <v>5.5970149253731345E-2</v>
      </c>
      <c r="S356">
        <v>153.19999999999999</v>
      </c>
      <c r="T356">
        <v>148</v>
      </c>
      <c r="U356">
        <v>141.9</v>
      </c>
      <c r="V356">
        <v>147.19999999999999</v>
      </c>
      <c r="W356" t="s">
        <v>31</v>
      </c>
      <c r="X356">
        <v>142.6</v>
      </c>
      <c r="Y356" s="12">
        <f t="shared" si="27"/>
        <v>0.12638230647709323</v>
      </c>
      <c r="Z356">
        <v>139.5</v>
      </c>
      <c r="AA356">
        <v>136.1</v>
      </c>
      <c r="AB356" s="12">
        <f t="shared" si="28"/>
        <v>7.2498029944838366E-2</v>
      </c>
      <c r="AC356">
        <v>122</v>
      </c>
      <c r="AD356">
        <v>133.4</v>
      </c>
      <c r="AE356">
        <v>141.1</v>
      </c>
      <c r="AF356">
        <v>127.8</v>
      </c>
      <c r="AG356">
        <v>131.9</v>
      </c>
      <c r="AH356">
        <v>139.80000000000001</v>
      </c>
      <c r="AI356" t="str">
        <f t="shared" si="29"/>
        <v>No</v>
      </c>
    </row>
    <row r="357" spans="1:35" x14ac:dyDescent="0.25">
      <c r="A357" t="s">
        <v>32</v>
      </c>
      <c r="B357">
        <v>2017</v>
      </c>
      <c r="C357">
        <v>12</v>
      </c>
      <c r="D357" s="13">
        <f t="shared" si="25"/>
        <v>43070</v>
      </c>
      <c r="E357">
        <v>134.4</v>
      </c>
      <c r="F357">
        <v>142.6</v>
      </c>
      <c r="G357">
        <v>145.9</v>
      </c>
      <c r="H357">
        <v>139.5</v>
      </c>
      <c r="I357">
        <v>115.9</v>
      </c>
      <c r="J357">
        <v>135</v>
      </c>
      <c r="K357">
        <v>163.19999999999999</v>
      </c>
      <c r="L357">
        <v>119.8</v>
      </c>
      <c r="M357">
        <v>120.7</v>
      </c>
      <c r="N357">
        <v>139.69999999999999</v>
      </c>
      <c r="O357">
        <v>125.7</v>
      </c>
      <c r="P357">
        <v>146.30000000000001</v>
      </c>
      <c r="Q357">
        <v>138.80000000000001</v>
      </c>
      <c r="R357" s="12">
        <f t="shared" si="26"/>
        <v>-1.9081272084805572E-2</v>
      </c>
      <c r="S357">
        <v>157</v>
      </c>
      <c r="T357">
        <v>135.6</v>
      </c>
      <c r="U357">
        <v>125.6</v>
      </c>
      <c r="V357">
        <v>134</v>
      </c>
      <c r="W357">
        <v>139.1</v>
      </c>
      <c r="X357">
        <v>126.8</v>
      </c>
      <c r="Y357" s="12">
        <f t="shared" si="27"/>
        <v>-0.11079943899018231</v>
      </c>
      <c r="Z357">
        <v>129.30000000000001</v>
      </c>
      <c r="AA357">
        <v>128.19999999999999</v>
      </c>
      <c r="AB357" s="12">
        <f t="shared" si="28"/>
        <v>-5.8045554739162425E-2</v>
      </c>
      <c r="AC357">
        <v>115.3</v>
      </c>
      <c r="AD357">
        <v>125.6</v>
      </c>
      <c r="AE357">
        <v>136.69999999999999</v>
      </c>
      <c r="AF357">
        <v>124.6</v>
      </c>
      <c r="AG357">
        <v>125.1</v>
      </c>
      <c r="AH357">
        <v>134.1</v>
      </c>
      <c r="AI357" t="str">
        <f t="shared" si="29"/>
        <v>No</v>
      </c>
    </row>
    <row r="358" spans="1:35" x14ac:dyDescent="0.25">
      <c r="A358" t="s">
        <v>33</v>
      </c>
      <c r="B358">
        <v>2017</v>
      </c>
      <c r="C358">
        <v>12</v>
      </c>
      <c r="D358" s="13">
        <f t="shared" si="25"/>
        <v>43070</v>
      </c>
      <c r="E358">
        <v>135.80000000000001</v>
      </c>
      <c r="F358">
        <v>143.30000000000001</v>
      </c>
      <c r="G358">
        <v>145.19999999999999</v>
      </c>
      <c r="H358">
        <v>141</v>
      </c>
      <c r="I358">
        <v>120.5</v>
      </c>
      <c r="J358">
        <v>141.5</v>
      </c>
      <c r="K358">
        <v>161.69999999999999</v>
      </c>
      <c r="L358">
        <v>129.1</v>
      </c>
      <c r="M358">
        <v>121.5</v>
      </c>
      <c r="N358">
        <v>137.1</v>
      </c>
      <c r="O358">
        <v>128.80000000000001</v>
      </c>
      <c r="P358">
        <v>149</v>
      </c>
      <c r="Q358">
        <v>140.5</v>
      </c>
      <c r="R358" s="12">
        <f t="shared" si="26"/>
        <v>1.2247838616714614E-2</v>
      </c>
      <c r="S358">
        <v>154.19999999999999</v>
      </c>
      <c r="T358">
        <v>143.1</v>
      </c>
      <c r="U358">
        <v>135.1</v>
      </c>
      <c r="V358">
        <v>142</v>
      </c>
      <c r="W358">
        <v>139.1</v>
      </c>
      <c r="X358">
        <v>136.6</v>
      </c>
      <c r="Y358" s="12">
        <f t="shared" si="27"/>
        <v>7.728706624605676E-2</v>
      </c>
      <c r="Z358">
        <v>134.69999999999999</v>
      </c>
      <c r="AA358">
        <v>133.1</v>
      </c>
      <c r="AB358" s="12">
        <f t="shared" si="28"/>
        <v>3.8221528861154493E-2</v>
      </c>
      <c r="AC358">
        <v>118.5</v>
      </c>
      <c r="AD358">
        <v>129</v>
      </c>
      <c r="AE358">
        <v>138.5</v>
      </c>
      <c r="AF358">
        <v>126.5</v>
      </c>
      <c r="AG358">
        <v>128.6</v>
      </c>
      <c r="AH358">
        <v>137.19999999999999</v>
      </c>
      <c r="AI358" t="str">
        <f t="shared" si="29"/>
        <v>No</v>
      </c>
    </row>
    <row r="359" spans="1:35" x14ac:dyDescent="0.25">
      <c r="A359" t="s">
        <v>30</v>
      </c>
      <c r="B359">
        <v>2018</v>
      </c>
      <c r="C359">
        <v>12</v>
      </c>
      <c r="D359" s="13">
        <f t="shared" si="25"/>
        <v>43435</v>
      </c>
      <c r="E359">
        <v>137.1</v>
      </c>
      <c r="F359">
        <v>151.9</v>
      </c>
      <c r="G359">
        <v>137.4</v>
      </c>
      <c r="H359">
        <v>142.4</v>
      </c>
      <c r="I359">
        <v>124.2</v>
      </c>
      <c r="J359">
        <v>140.19999999999999</v>
      </c>
      <c r="K359">
        <v>136.6</v>
      </c>
      <c r="L359">
        <v>120.9</v>
      </c>
      <c r="M359">
        <v>109.9</v>
      </c>
      <c r="N359">
        <v>140.19999999999999</v>
      </c>
      <c r="O359">
        <v>137.80000000000001</v>
      </c>
      <c r="P359">
        <v>156</v>
      </c>
      <c r="Q359">
        <v>138.5</v>
      </c>
      <c r="R359" s="12">
        <f t="shared" si="26"/>
        <v>-1.4234875444839857E-2</v>
      </c>
      <c r="S359">
        <v>162.4</v>
      </c>
      <c r="T359">
        <v>151.6</v>
      </c>
      <c r="U359">
        <v>145.9</v>
      </c>
      <c r="V359">
        <v>150.80000000000001</v>
      </c>
      <c r="W359" t="s">
        <v>31</v>
      </c>
      <c r="X359">
        <v>149</v>
      </c>
      <c r="Y359" s="12">
        <f t="shared" si="27"/>
        <v>9.0775988286969297E-2</v>
      </c>
      <c r="Z359">
        <v>149.5</v>
      </c>
      <c r="AA359">
        <v>149.6</v>
      </c>
      <c r="AB359" s="12">
        <f t="shared" si="28"/>
        <v>0.12396694214876033</v>
      </c>
      <c r="AC359">
        <v>128.9</v>
      </c>
      <c r="AD359">
        <v>143.30000000000001</v>
      </c>
      <c r="AE359">
        <v>155.1</v>
      </c>
      <c r="AF359">
        <v>133.19999999999999</v>
      </c>
      <c r="AG359">
        <v>141.6</v>
      </c>
      <c r="AH359">
        <v>141.9</v>
      </c>
      <c r="AI359" t="str">
        <f t="shared" si="29"/>
        <v>No</v>
      </c>
    </row>
    <row r="360" spans="1:35" x14ac:dyDescent="0.25">
      <c r="A360" t="s">
        <v>32</v>
      </c>
      <c r="B360">
        <v>2018</v>
      </c>
      <c r="C360">
        <v>12</v>
      </c>
      <c r="D360" s="13">
        <f t="shared" si="25"/>
        <v>43435</v>
      </c>
      <c r="E360">
        <v>138.5</v>
      </c>
      <c r="F360">
        <v>147.80000000000001</v>
      </c>
      <c r="G360">
        <v>141.1</v>
      </c>
      <c r="H360">
        <v>141.6</v>
      </c>
      <c r="I360">
        <v>118.1</v>
      </c>
      <c r="J360">
        <v>138.5</v>
      </c>
      <c r="K360">
        <v>132.4</v>
      </c>
      <c r="L360">
        <v>117.5</v>
      </c>
      <c r="M360">
        <v>111</v>
      </c>
      <c r="N360">
        <v>141.5</v>
      </c>
      <c r="O360">
        <v>128.1</v>
      </c>
      <c r="P360">
        <v>152.9</v>
      </c>
      <c r="Q360">
        <v>137.6</v>
      </c>
      <c r="R360" s="12">
        <f t="shared" si="26"/>
        <v>-6.4981949458484166E-3</v>
      </c>
      <c r="S360">
        <v>164.6</v>
      </c>
      <c r="T360">
        <v>142.69999999999999</v>
      </c>
      <c r="U360">
        <v>130.30000000000001</v>
      </c>
      <c r="V360">
        <v>140.80000000000001</v>
      </c>
      <c r="W360">
        <v>146.5</v>
      </c>
      <c r="X360">
        <v>132.4</v>
      </c>
      <c r="Y360" s="12">
        <f t="shared" si="27"/>
        <v>-0.11140939597315433</v>
      </c>
      <c r="Z360">
        <v>136.19999999999999</v>
      </c>
      <c r="AA360">
        <v>137.30000000000001</v>
      </c>
      <c r="AB360" s="12">
        <f t="shared" si="28"/>
        <v>-8.221925133689828E-2</v>
      </c>
      <c r="AC360">
        <v>118.8</v>
      </c>
      <c r="AD360">
        <v>131.69999999999999</v>
      </c>
      <c r="AE360">
        <v>146.5</v>
      </c>
      <c r="AF360">
        <v>130.80000000000001</v>
      </c>
      <c r="AG360">
        <v>131.69999999999999</v>
      </c>
      <c r="AH360">
        <v>138</v>
      </c>
      <c r="AI360" t="str">
        <f t="shared" si="29"/>
        <v>No</v>
      </c>
    </row>
    <row r="361" spans="1:35" x14ac:dyDescent="0.25">
      <c r="A361" t="s">
        <v>33</v>
      </c>
      <c r="B361">
        <v>2018</v>
      </c>
      <c r="C361">
        <v>12</v>
      </c>
      <c r="D361" s="13">
        <f t="shared" si="25"/>
        <v>43435</v>
      </c>
      <c r="E361">
        <v>137.5</v>
      </c>
      <c r="F361">
        <v>150.5</v>
      </c>
      <c r="G361">
        <v>138.80000000000001</v>
      </c>
      <c r="H361">
        <v>142.1</v>
      </c>
      <c r="I361">
        <v>122</v>
      </c>
      <c r="J361">
        <v>139.4</v>
      </c>
      <c r="K361">
        <v>135.19999999999999</v>
      </c>
      <c r="L361">
        <v>119.8</v>
      </c>
      <c r="M361">
        <v>110.3</v>
      </c>
      <c r="N361">
        <v>140.6</v>
      </c>
      <c r="O361">
        <v>133.80000000000001</v>
      </c>
      <c r="P361">
        <v>154.6</v>
      </c>
      <c r="Q361">
        <v>138.19999999999999</v>
      </c>
      <c r="R361" s="12">
        <f t="shared" si="26"/>
        <v>4.3604651162790289E-3</v>
      </c>
      <c r="S361">
        <v>163</v>
      </c>
      <c r="T361">
        <v>148.1</v>
      </c>
      <c r="U361">
        <v>139.4</v>
      </c>
      <c r="V361">
        <v>146.80000000000001</v>
      </c>
      <c r="W361">
        <v>146.5</v>
      </c>
      <c r="X361">
        <v>142.69999999999999</v>
      </c>
      <c r="Y361" s="12">
        <f t="shared" si="27"/>
        <v>7.7794561933534609E-2</v>
      </c>
      <c r="Z361">
        <v>143.19999999999999</v>
      </c>
      <c r="AA361">
        <v>144.9</v>
      </c>
      <c r="AB361" s="12">
        <f t="shared" si="28"/>
        <v>5.5353241077931492E-2</v>
      </c>
      <c r="AC361">
        <v>123.6</v>
      </c>
      <c r="AD361">
        <v>136.80000000000001</v>
      </c>
      <c r="AE361">
        <v>150.1</v>
      </c>
      <c r="AF361">
        <v>132.19999999999999</v>
      </c>
      <c r="AG361">
        <v>136.80000000000001</v>
      </c>
      <c r="AH361">
        <v>140.1</v>
      </c>
      <c r="AI361" t="str">
        <f t="shared" si="29"/>
        <v>No</v>
      </c>
    </row>
    <row r="362" spans="1:35" x14ac:dyDescent="0.25">
      <c r="A362" t="s">
        <v>30</v>
      </c>
      <c r="B362">
        <v>2019</v>
      </c>
      <c r="C362">
        <v>12</v>
      </c>
      <c r="D362" s="13">
        <f t="shared" si="25"/>
        <v>43800</v>
      </c>
      <c r="E362">
        <v>142.80000000000001</v>
      </c>
      <c r="F362">
        <v>165.3</v>
      </c>
      <c r="G362">
        <v>149.5</v>
      </c>
      <c r="H362">
        <v>148.69999999999999</v>
      </c>
      <c r="I362">
        <v>127.5</v>
      </c>
      <c r="J362">
        <v>144.30000000000001</v>
      </c>
      <c r="K362">
        <v>209.5</v>
      </c>
      <c r="L362">
        <v>138.80000000000001</v>
      </c>
      <c r="M362">
        <v>113.6</v>
      </c>
      <c r="N362">
        <v>149.1</v>
      </c>
      <c r="O362">
        <v>139.30000000000001</v>
      </c>
      <c r="P362">
        <v>158.30000000000001</v>
      </c>
      <c r="Q362">
        <v>154.30000000000001</v>
      </c>
      <c r="R362" s="12">
        <f t="shared" si="26"/>
        <v>0.11649782923299583</v>
      </c>
      <c r="S362">
        <v>167.8</v>
      </c>
      <c r="T362">
        <v>152.6</v>
      </c>
      <c r="U362">
        <v>147.30000000000001</v>
      </c>
      <c r="V362">
        <v>151.9</v>
      </c>
      <c r="W362" t="s">
        <v>31</v>
      </c>
      <c r="X362">
        <v>149.9</v>
      </c>
      <c r="Y362" s="12">
        <f t="shared" si="27"/>
        <v>5.0455501051156398E-2</v>
      </c>
      <c r="Z362">
        <v>151.19999999999999</v>
      </c>
      <c r="AA362">
        <v>154.80000000000001</v>
      </c>
      <c r="AB362" s="12">
        <f t="shared" si="28"/>
        <v>6.8322981366459659E-2</v>
      </c>
      <c r="AC362">
        <v>135</v>
      </c>
      <c r="AD362">
        <v>149.5</v>
      </c>
      <c r="AE362">
        <v>161.1</v>
      </c>
      <c r="AF362">
        <v>140.6</v>
      </c>
      <c r="AG362">
        <v>147.1</v>
      </c>
      <c r="AH362">
        <v>152.30000000000001</v>
      </c>
      <c r="AI362" t="str">
        <f t="shared" si="29"/>
        <v>No</v>
      </c>
    </row>
    <row r="363" spans="1:35" x14ac:dyDescent="0.25">
      <c r="A363" t="s">
        <v>32</v>
      </c>
      <c r="B363">
        <v>2019</v>
      </c>
      <c r="C363">
        <v>12</v>
      </c>
      <c r="D363" s="13">
        <f t="shared" si="25"/>
        <v>43800</v>
      </c>
      <c r="E363">
        <v>144.9</v>
      </c>
      <c r="F363">
        <v>164.5</v>
      </c>
      <c r="G363">
        <v>153.69999999999999</v>
      </c>
      <c r="H363">
        <v>147.5</v>
      </c>
      <c r="I363">
        <v>122.7</v>
      </c>
      <c r="J363">
        <v>147.19999999999999</v>
      </c>
      <c r="K363">
        <v>231.5</v>
      </c>
      <c r="L363">
        <v>137.19999999999999</v>
      </c>
      <c r="M363">
        <v>114.7</v>
      </c>
      <c r="N363">
        <v>148</v>
      </c>
      <c r="O363">
        <v>130.80000000000001</v>
      </c>
      <c r="P363">
        <v>157.69999999999999</v>
      </c>
      <c r="Q363">
        <v>156.30000000000001</v>
      </c>
      <c r="R363" s="12">
        <f t="shared" si="26"/>
        <v>1.2961762799740763E-2</v>
      </c>
      <c r="S363">
        <v>170.4</v>
      </c>
      <c r="T363">
        <v>146.80000000000001</v>
      </c>
      <c r="U363">
        <v>132.80000000000001</v>
      </c>
      <c r="V363">
        <v>144.6</v>
      </c>
      <c r="W363">
        <v>152.80000000000001</v>
      </c>
      <c r="X363">
        <v>133.6</v>
      </c>
      <c r="Y363" s="12">
        <f t="shared" si="27"/>
        <v>-0.10873915943962649</v>
      </c>
      <c r="Z363">
        <v>139.80000000000001</v>
      </c>
      <c r="AA363">
        <v>143.19999999999999</v>
      </c>
      <c r="AB363" s="12">
        <f t="shared" si="28"/>
        <v>-7.4935400516796008E-2</v>
      </c>
      <c r="AC363">
        <v>125.2</v>
      </c>
      <c r="AD363">
        <v>136.80000000000001</v>
      </c>
      <c r="AE363">
        <v>151.9</v>
      </c>
      <c r="AF363">
        <v>140.19999999999999</v>
      </c>
      <c r="AG363">
        <v>137.69999999999999</v>
      </c>
      <c r="AH363">
        <v>148.30000000000001</v>
      </c>
      <c r="AI363" t="str">
        <f t="shared" si="29"/>
        <v>No</v>
      </c>
    </row>
    <row r="364" spans="1:35" x14ac:dyDescent="0.25">
      <c r="A364" t="s">
        <v>33</v>
      </c>
      <c r="B364">
        <v>2019</v>
      </c>
      <c r="C364">
        <v>12</v>
      </c>
      <c r="D364" s="13">
        <f t="shared" si="25"/>
        <v>43800</v>
      </c>
      <c r="E364">
        <v>143.5</v>
      </c>
      <c r="F364">
        <v>165</v>
      </c>
      <c r="G364">
        <v>151.1</v>
      </c>
      <c r="H364">
        <v>148.30000000000001</v>
      </c>
      <c r="I364">
        <v>125.7</v>
      </c>
      <c r="J364">
        <v>145.69999999999999</v>
      </c>
      <c r="K364">
        <v>217</v>
      </c>
      <c r="L364">
        <v>138.30000000000001</v>
      </c>
      <c r="M364">
        <v>114</v>
      </c>
      <c r="N364">
        <v>148.69999999999999</v>
      </c>
      <c r="O364">
        <v>135.80000000000001</v>
      </c>
      <c r="P364">
        <v>158</v>
      </c>
      <c r="Q364">
        <v>155</v>
      </c>
      <c r="R364" s="12">
        <f t="shared" si="26"/>
        <v>-8.3173384516955304E-3</v>
      </c>
      <c r="S364">
        <v>168.5</v>
      </c>
      <c r="T364">
        <v>150.30000000000001</v>
      </c>
      <c r="U364">
        <v>141.30000000000001</v>
      </c>
      <c r="V364">
        <v>149</v>
      </c>
      <c r="W364">
        <v>152.80000000000001</v>
      </c>
      <c r="X364">
        <v>143.69999999999999</v>
      </c>
      <c r="Y364" s="12">
        <f t="shared" si="27"/>
        <v>7.5598802395209538E-2</v>
      </c>
      <c r="Z364">
        <v>145.80000000000001</v>
      </c>
      <c r="AA364">
        <v>150.4</v>
      </c>
      <c r="AB364" s="12">
        <f t="shared" si="28"/>
        <v>5.0279329608938668E-2</v>
      </c>
      <c r="AC364">
        <v>129.80000000000001</v>
      </c>
      <c r="AD364">
        <v>142.30000000000001</v>
      </c>
      <c r="AE364">
        <v>155.69999999999999</v>
      </c>
      <c r="AF364">
        <v>140.4</v>
      </c>
      <c r="AG364">
        <v>142.5</v>
      </c>
      <c r="AH364">
        <v>150.4</v>
      </c>
      <c r="AI364" t="str">
        <f t="shared" si="29"/>
        <v>No</v>
      </c>
    </row>
    <row r="365" spans="1:35" x14ac:dyDescent="0.25">
      <c r="A365" t="s">
        <v>30</v>
      </c>
      <c r="B365">
        <v>2020</v>
      </c>
      <c r="C365">
        <v>12</v>
      </c>
      <c r="D365" s="13">
        <f t="shared" si="25"/>
        <v>44166</v>
      </c>
      <c r="E365">
        <v>144.6</v>
      </c>
      <c r="F365">
        <v>188.5</v>
      </c>
      <c r="G365">
        <v>173.4</v>
      </c>
      <c r="H365">
        <v>154</v>
      </c>
      <c r="I365">
        <v>150</v>
      </c>
      <c r="J365">
        <v>145.9</v>
      </c>
      <c r="K365">
        <v>225.2</v>
      </c>
      <c r="L365">
        <v>159.5</v>
      </c>
      <c r="M365">
        <v>114.4</v>
      </c>
      <c r="N365">
        <v>163.5</v>
      </c>
      <c r="O365">
        <v>153.4</v>
      </c>
      <c r="P365">
        <v>163.6</v>
      </c>
      <c r="Q365">
        <v>164.5</v>
      </c>
      <c r="R365" s="12">
        <f t="shared" si="26"/>
        <v>6.1290322580645158E-2</v>
      </c>
      <c r="S365">
        <v>183.6</v>
      </c>
      <c r="T365">
        <v>157</v>
      </c>
      <c r="U365">
        <v>151.6</v>
      </c>
      <c r="V365">
        <v>156.30000000000001</v>
      </c>
      <c r="W365" t="s">
        <v>31</v>
      </c>
      <c r="X365">
        <v>148.69999999999999</v>
      </c>
      <c r="Y365" s="12">
        <f t="shared" si="27"/>
        <v>3.4794711203897009E-2</v>
      </c>
      <c r="Z365">
        <v>153.4</v>
      </c>
      <c r="AA365">
        <v>161.6</v>
      </c>
      <c r="AB365" s="12">
        <f t="shared" si="28"/>
        <v>7.4468085106382906E-2</v>
      </c>
      <c r="AC365">
        <v>146.4</v>
      </c>
      <c r="AD365">
        <v>153.9</v>
      </c>
      <c r="AE365">
        <v>162.9</v>
      </c>
      <c r="AF365">
        <v>156.6</v>
      </c>
      <c r="AG365">
        <v>155.19999999999999</v>
      </c>
      <c r="AH365">
        <v>160.69999999999999</v>
      </c>
      <c r="AI365" t="str">
        <f t="shared" si="29"/>
        <v>No</v>
      </c>
    </row>
    <row r="366" spans="1:35" x14ac:dyDescent="0.25">
      <c r="A366" t="s">
        <v>32</v>
      </c>
      <c r="B366">
        <v>2020</v>
      </c>
      <c r="C366">
        <v>12</v>
      </c>
      <c r="D366" s="13">
        <f t="shared" si="25"/>
        <v>44166</v>
      </c>
      <c r="E366">
        <v>149</v>
      </c>
      <c r="F366">
        <v>195.7</v>
      </c>
      <c r="G366">
        <v>178.3</v>
      </c>
      <c r="H366">
        <v>154.19999999999999</v>
      </c>
      <c r="I366">
        <v>140.69999999999999</v>
      </c>
      <c r="J366">
        <v>149.69999999999999</v>
      </c>
      <c r="K366">
        <v>240.9</v>
      </c>
      <c r="L366">
        <v>161.5</v>
      </c>
      <c r="M366">
        <v>117.1</v>
      </c>
      <c r="N366">
        <v>161.9</v>
      </c>
      <c r="O366">
        <v>143.30000000000001</v>
      </c>
      <c r="P366">
        <v>166.1</v>
      </c>
      <c r="Q366">
        <v>167</v>
      </c>
      <c r="R366" s="12">
        <f t="shared" si="26"/>
        <v>1.5197568389057751E-2</v>
      </c>
      <c r="S366">
        <v>190.2</v>
      </c>
      <c r="T366">
        <v>151.9</v>
      </c>
      <c r="U366">
        <v>136.69999999999999</v>
      </c>
      <c r="V366">
        <v>149.6</v>
      </c>
      <c r="W366">
        <v>158.4</v>
      </c>
      <c r="X366">
        <v>137.9</v>
      </c>
      <c r="Y366" s="12">
        <f t="shared" si="27"/>
        <v>-7.2629455279085292E-2</v>
      </c>
      <c r="Z366">
        <v>145.5</v>
      </c>
      <c r="AA366">
        <v>152.9</v>
      </c>
      <c r="AB366" s="12">
        <f t="shared" si="28"/>
        <v>-5.3836633663366266E-2</v>
      </c>
      <c r="AC366">
        <v>135.5</v>
      </c>
      <c r="AD366">
        <v>144.30000000000001</v>
      </c>
      <c r="AE366">
        <v>156.9</v>
      </c>
      <c r="AF366">
        <v>157.9</v>
      </c>
      <c r="AG366">
        <v>146.9</v>
      </c>
      <c r="AH366">
        <v>156.9</v>
      </c>
      <c r="AI366" t="str">
        <f t="shared" si="29"/>
        <v>No</v>
      </c>
    </row>
    <row r="367" spans="1:35" x14ac:dyDescent="0.25">
      <c r="A367" t="s">
        <v>33</v>
      </c>
      <c r="B367">
        <v>2020</v>
      </c>
      <c r="C367">
        <v>12</v>
      </c>
      <c r="D367" s="13">
        <f t="shared" si="25"/>
        <v>44166</v>
      </c>
      <c r="E367">
        <v>146</v>
      </c>
      <c r="F367">
        <v>191</v>
      </c>
      <c r="G367">
        <v>175.3</v>
      </c>
      <c r="H367">
        <v>154.1</v>
      </c>
      <c r="I367">
        <v>146.6</v>
      </c>
      <c r="J367">
        <v>147.69999999999999</v>
      </c>
      <c r="K367">
        <v>230.5</v>
      </c>
      <c r="L367">
        <v>160.19999999999999</v>
      </c>
      <c r="M367">
        <v>115.3</v>
      </c>
      <c r="N367">
        <v>163</v>
      </c>
      <c r="O367">
        <v>149.19999999999999</v>
      </c>
      <c r="P367">
        <v>164.8</v>
      </c>
      <c r="Q367">
        <v>165.4</v>
      </c>
      <c r="R367" s="12">
        <f t="shared" si="26"/>
        <v>-9.5808383233532586E-3</v>
      </c>
      <c r="S367">
        <v>185.4</v>
      </c>
      <c r="T367">
        <v>155</v>
      </c>
      <c r="U367">
        <v>145.4</v>
      </c>
      <c r="V367">
        <v>153.6</v>
      </c>
      <c r="W367">
        <v>158.4</v>
      </c>
      <c r="X367">
        <v>144.6</v>
      </c>
      <c r="Y367" s="12">
        <f t="shared" si="27"/>
        <v>4.8585931834662713E-2</v>
      </c>
      <c r="Z367">
        <v>149.69999999999999</v>
      </c>
      <c r="AA367">
        <v>158.30000000000001</v>
      </c>
      <c r="AB367" s="12">
        <f t="shared" si="28"/>
        <v>3.5317200784826717E-2</v>
      </c>
      <c r="AC367">
        <v>140.69999999999999</v>
      </c>
      <c r="AD367">
        <v>148.5</v>
      </c>
      <c r="AE367">
        <v>159.4</v>
      </c>
      <c r="AF367">
        <v>157.1</v>
      </c>
      <c r="AG367">
        <v>151.19999999999999</v>
      </c>
      <c r="AH367">
        <v>158.9</v>
      </c>
      <c r="AI367" t="str">
        <f t="shared" si="29"/>
        <v>No</v>
      </c>
    </row>
    <row r="368" spans="1:35" x14ac:dyDescent="0.25">
      <c r="A368" t="s">
        <v>30</v>
      </c>
      <c r="B368">
        <v>2021</v>
      </c>
      <c r="C368">
        <v>12</v>
      </c>
      <c r="D368" s="13">
        <f t="shared" si="25"/>
        <v>44531</v>
      </c>
      <c r="E368">
        <v>147.4</v>
      </c>
      <c r="F368">
        <v>197</v>
      </c>
      <c r="G368">
        <v>176.5</v>
      </c>
      <c r="H368">
        <v>159.80000000000001</v>
      </c>
      <c r="I368">
        <v>195.8</v>
      </c>
      <c r="J368">
        <v>152</v>
      </c>
      <c r="K368">
        <v>172.3</v>
      </c>
      <c r="L368">
        <v>164.5</v>
      </c>
      <c r="M368">
        <v>120.6</v>
      </c>
      <c r="N368">
        <v>171.7</v>
      </c>
      <c r="O368">
        <v>169.7</v>
      </c>
      <c r="P368">
        <v>175.1</v>
      </c>
      <c r="Q368">
        <v>165.8</v>
      </c>
      <c r="R368" s="12">
        <f t="shared" si="26"/>
        <v>2.418379685610675E-3</v>
      </c>
      <c r="S368">
        <v>190.8</v>
      </c>
      <c r="T368">
        <v>171.8</v>
      </c>
      <c r="U368">
        <v>167.3</v>
      </c>
      <c r="V368">
        <v>171.2</v>
      </c>
      <c r="W368" t="s">
        <v>31</v>
      </c>
      <c r="X368">
        <v>165.6</v>
      </c>
      <c r="Y368" s="12">
        <f t="shared" si="27"/>
        <v>0.14522821576763487</v>
      </c>
      <c r="Z368">
        <v>163.9</v>
      </c>
      <c r="AA368">
        <v>174</v>
      </c>
      <c r="AB368" s="12">
        <f t="shared" si="28"/>
        <v>9.9178774478837578E-2</v>
      </c>
      <c r="AC368">
        <v>160.1</v>
      </c>
      <c r="AD368">
        <v>164.5</v>
      </c>
      <c r="AE368">
        <v>169.7</v>
      </c>
      <c r="AF368">
        <v>162.80000000000001</v>
      </c>
      <c r="AG368">
        <v>166</v>
      </c>
      <c r="AH368">
        <v>167</v>
      </c>
      <c r="AI368" t="str">
        <f t="shared" si="29"/>
        <v>Yes</v>
      </c>
    </row>
    <row r="369" spans="1:35" x14ac:dyDescent="0.25">
      <c r="A369" t="s">
        <v>32</v>
      </c>
      <c r="B369">
        <v>2021</v>
      </c>
      <c r="C369">
        <v>12</v>
      </c>
      <c r="D369" s="13">
        <f t="shared" si="25"/>
        <v>44531</v>
      </c>
      <c r="E369">
        <v>151.6</v>
      </c>
      <c r="F369">
        <v>202.2</v>
      </c>
      <c r="G369">
        <v>180</v>
      </c>
      <c r="H369">
        <v>160</v>
      </c>
      <c r="I369">
        <v>173.5</v>
      </c>
      <c r="J369">
        <v>158.30000000000001</v>
      </c>
      <c r="K369">
        <v>219.5</v>
      </c>
      <c r="L369">
        <v>164.2</v>
      </c>
      <c r="M369">
        <v>121.9</v>
      </c>
      <c r="N369">
        <v>168.2</v>
      </c>
      <c r="O369">
        <v>156.5</v>
      </c>
      <c r="P369">
        <v>178.2</v>
      </c>
      <c r="Q369">
        <v>172.2</v>
      </c>
      <c r="R369" s="12">
        <f t="shared" si="26"/>
        <v>3.8600723763570426E-2</v>
      </c>
      <c r="S369">
        <v>196.8</v>
      </c>
      <c r="T369">
        <v>163.30000000000001</v>
      </c>
      <c r="U369">
        <v>146.69999999999999</v>
      </c>
      <c r="V369">
        <v>160.69999999999999</v>
      </c>
      <c r="W369">
        <v>163.4</v>
      </c>
      <c r="X369">
        <v>161.69999999999999</v>
      </c>
      <c r="Y369" s="12">
        <f t="shared" si="27"/>
        <v>-2.3550724637681195E-2</v>
      </c>
      <c r="Z369">
        <v>156</v>
      </c>
      <c r="AA369">
        <v>165.1</v>
      </c>
      <c r="AB369" s="12">
        <f t="shared" si="28"/>
        <v>-5.1149425287356352E-2</v>
      </c>
      <c r="AC369">
        <v>151.80000000000001</v>
      </c>
      <c r="AD369">
        <v>157.6</v>
      </c>
      <c r="AE369">
        <v>160.6</v>
      </c>
      <c r="AF369">
        <v>162.4</v>
      </c>
      <c r="AG369">
        <v>157.80000000000001</v>
      </c>
      <c r="AH369">
        <v>165.2</v>
      </c>
      <c r="AI369" t="str">
        <f t="shared" si="29"/>
        <v>Yes</v>
      </c>
    </row>
    <row r="370" spans="1:35" x14ac:dyDescent="0.25">
      <c r="A370" t="s">
        <v>33</v>
      </c>
      <c r="B370">
        <v>2021</v>
      </c>
      <c r="C370">
        <v>12</v>
      </c>
      <c r="D370" s="13">
        <f t="shared" si="25"/>
        <v>44531</v>
      </c>
      <c r="E370">
        <v>148.69999999999999</v>
      </c>
      <c r="F370">
        <v>198.8</v>
      </c>
      <c r="G370">
        <v>177.9</v>
      </c>
      <c r="H370">
        <v>159.9</v>
      </c>
      <c r="I370">
        <v>187.6</v>
      </c>
      <c r="J370">
        <v>154.9</v>
      </c>
      <c r="K370">
        <v>188.3</v>
      </c>
      <c r="L370">
        <v>164.4</v>
      </c>
      <c r="M370">
        <v>121</v>
      </c>
      <c r="N370">
        <v>170.5</v>
      </c>
      <c r="O370">
        <v>164.2</v>
      </c>
      <c r="P370">
        <v>176.5</v>
      </c>
      <c r="Q370">
        <v>168.2</v>
      </c>
      <c r="R370" s="12">
        <f t="shared" si="26"/>
        <v>-2.3228803716608595E-2</v>
      </c>
      <c r="S370">
        <v>192.4</v>
      </c>
      <c r="T370">
        <v>168.5</v>
      </c>
      <c r="U370">
        <v>158.69999999999999</v>
      </c>
      <c r="V370">
        <v>167</v>
      </c>
      <c r="W370">
        <v>163.4</v>
      </c>
      <c r="X370">
        <v>164.1</v>
      </c>
      <c r="Y370" s="12">
        <f t="shared" si="27"/>
        <v>1.4842300556586308E-2</v>
      </c>
      <c r="Z370">
        <v>160.19999999999999</v>
      </c>
      <c r="AA370">
        <v>170.6</v>
      </c>
      <c r="AB370" s="12">
        <f t="shared" si="28"/>
        <v>3.3313143549364023E-2</v>
      </c>
      <c r="AC370">
        <v>155.69999999999999</v>
      </c>
      <c r="AD370">
        <v>160.6</v>
      </c>
      <c r="AE370">
        <v>164.4</v>
      </c>
      <c r="AF370">
        <v>162.6</v>
      </c>
      <c r="AG370">
        <v>162</v>
      </c>
      <c r="AH370">
        <v>166.2</v>
      </c>
      <c r="AI370" t="str">
        <f t="shared" si="29"/>
        <v>Yes</v>
      </c>
    </row>
    <row r="371" spans="1:35" x14ac:dyDescent="0.25">
      <c r="A371" t="s">
        <v>30</v>
      </c>
      <c r="B371">
        <v>2022</v>
      </c>
      <c r="C371">
        <v>12</v>
      </c>
      <c r="D371" s="13">
        <f t="shared" si="25"/>
        <v>44896</v>
      </c>
      <c r="E371">
        <v>168.8</v>
      </c>
      <c r="F371">
        <v>206.9</v>
      </c>
      <c r="G371">
        <v>189.1</v>
      </c>
      <c r="H371">
        <v>173.4</v>
      </c>
      <c r="I371">
        <v>193.9</v>
      </c>
      <c r="J371">
        <v>156.69999999999999</v>
      </c>
      <c r="K371">
        <v>150.19999999999999</v>
      </c>
      <c r="L371">
        <v>170.5</v>
      </c>
      <c r="M371">
        <v>121.2</v>
      </c>
      <c r="N371">
        <v>207.5</v>
      </c>
      <c r="O371">
        <v>176.8</v>
      </c>
      <c r="P371">
        <v>187.7</v>
      </c>
      <c r="Q371">
        <v>174.4</v>
      </c>
      <c r="R371" s="12">
        <f t="shared" si="26"/>
        <v>3.686087990487525E-2</v>
      </c>
      <c r="S371">
        <v>195.9</v>
      </c>
      <c r="T371">
        <v>188.1</v>
      </c>
      <c r="U371">
        <v>185.9</v>
      </c>
      <c r="V371">
        <v>187.8</v>
      </c>
      <c r="W371" t="s">
        <v>31</v>
      </c>
      <c r="X371">
        <v>182.8</v>
      </c>
      <c r="Y371" s="12">
        <f t="shared" si="27"/>
        <v>0.11395490554539925</v>
      </c>
      <c r="Z371">
        <v>176.4</v>
      </c>
      <c r="AA371">
        <v>183.5</v>
      </c>
      <c r="AB371" s="12">
        <f t="shared" si="28"/>
        <v>7.5615474794841778E-2</v>
      </c>
      <c r="AC371">
        <v>167.8</v>
      </c>
      <c r="AD371">
        <v>171.2</v>
      </c>
      <c r="AE371">
        <v>177.3</v>
      </c>
      <c r="AF371">
        <v>175.7</v>
      </c>
      <c r="AG371">
        <v>175.5</v>
      </c>
      <c r="AH371">
        <v>177.1</v>
      </c>
      <c r="AI371" t="str">
        <f t="shared" si="29"/>
        <v>Yes</v>
      </c>
    </row>
    <row r="372" spans="1:35" x14ac:dyDescent="0.25">
      <c r="A372" t="s">
        <v>32</v>
      </c>
      <c r="B372">
        <v>2022</v>
      </c>
      <c r="C372">
        <v>12</v>
      </c>
      <c r="D372" s="13">
        <f t="shared" si="25"/>
        <v>44896</v>
      </c>
      <c r="E372">
        <v>170.2</v>
      </c>
      <c r="F372">
        <v>212.9</v>
      </c>
      <c r="G372">
        <v>191.9</v>
      </c>
      <c r="H372">
        <v>173.9</v>
      </c>
      <c r="I372">
        <v>179.1</v>
      </c>
      <c r="J372">
        <v>159.5</v>
      </c>
      <c r="K372">
        <v>178.7</v>
      </c>
      <c r="L372">
        <v>171.3</v>
      </c>
      <c r="M372">
        <v>123.1</v>
      </c>
      <c r="N372">
        <v>200.5</v>
      </c>
      <c r="O372">
        <v>162.80000000000001</v>
      </c>
      <c r="P372">
        <v>193.3</v>
      </c>
      <c r="Q372">
        <v>178.6</v>
      </c>
      <c r="R372" s="12">
        <f t="shared" si="26"/>
        <v>2.4082568807339385E-2</v>
      </c>
      <c r="S372">
        <v>201.1</v>
      </c>
      <c r="T372">
        <v>177.7</v>
      </c>
      <c r="U372">
        <v>164.5</v>
      </c>
      <c r="V372">
        <v>175.7</v>
      </c>
      <c r="W372">
        <v>170.7</v>
      </c>
      <c r="X372">
        <v>180.6</v>
      </c>
      <c r="Y372" s="12">
        <f t="shared" si="27"/>
        <v>-1.203501094091913E-2</v>
      </c>
      <c r="Z372">
        <v>167.3</v>
      </c>
      <c r="AA372">
        <v>177.2</v>
      </c>
      <c r="AB372" s="12">
        <f t="shared" si="28"/>
        <v>-3.4332425068119954E-2</v>
      </c>
      <c r="AC372">
        <v>159.4</v>
      </c>
      <c r="AD372">
        <v>167.1</v>
      </c>
      <c r="AE372">
        <v>171.8</v>
      </c>
      <c r="AF372">
        <v>176</v>
      </c>
      <c r="AG372">
        <v>168.2</v>
      </c>
      <c r="AH372">
        <v>174.1</v>
      </c>
      <c r="AI372" t="str">
        <f t="shared" si="29"/>
        <v>Yes</v>
      </c>
    </row>
    <row r="373" spans="1:35" x14ac:dyDescent="0.25">
      <c r="A373" t="s">
        <v>33</v>
      </c>
      <c r="B373">
        <v>2022</v>
      </c>
      <c r="C373">
        <v>12</v>
      </c>
      <c r="D373" s="13">
        <f t="shared" si="25"/>
        <v>44896</v>
      </c>
      <c r="E373">
        <v>169.2</v>
      </c>
      <c r="F373">
        <v>209</v>
      </c>
      <c r="G373">
        <v>190.2</v>
      </c>
      <c r="H373">
        <v>173.6</v>
      </c>
      <c r="I373">
        <v>188.5</v>
      </c>
      <c r="J373">
        <v>158</v>
      </c>
      <c r="K373">
        <v>159.9</v>
      </c>
      <c r="L373">
        <v>170.8</v>
      </c>
      <c r="M373">
        <v>121.8</v>
      </c>
      <c r="N373">
        <v>205.2</v>
      </c>
      <c r="O373">
        <v>171</v>
      </c>
      <c r="P373">
        <v>190.3</v>
      </c>
      <c r="Q373">
        <v>175.9</v>
      </c>
      <c r="R373" s="12">
        <f t="shared" si="26"/>
        <v>-1.5117581187010015E-2</v>
      </c>
      <c r="S373">
        <v>197.3</v>
      </c>
      <c r="T373">
        <v>184</v>
      </c>
      <c r="U373">
        <v>177</v>
      </c>
      <c r="V373">
        <v>183</v>
      </c>
      <c r="W373">
        <v>170.7</v>
      </c>
      <c r="X373">
        <v>182</v>
      </c>
      <c r="Y373" s="12">
        <f t="shared" si="27"/>
        <v>7.751937984496156E-3</v>
      </c>
      <c r="Z373">
        <v>172.1</v>
      </c>
      <c r="AA373">
        <v>181.1</v>
      </c>
      <c r="AB373" s="12">
        <f t="shared" si="28"/>
        <v>2.2009029345372494E-2</v>
      </c>
      <c r="AC373">
        <v>163.4</v>
      </c>
      <c r="AD373">
        <v>168.9</v>
      </c>
      <c r="AE373">
        <v>174.1</v>
      </c>
      <c r="AF373">
        <v>175.8</v>
      </c>
      <c r="AG373">
        <v>172</v>
      </c>
      <c r="AH373">
        <v>175.7</v>
      </c>
      <c r="AI373" t="str">
        <f t="shared" si="29"/>
        <v>Yes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55673-3DEB-4700-BF12-78A767CB8C8B}">
  <dimension ref="A1:H6"/>
  <sheetViews>
    <sheetView workbookViewId="0">
      <selection activeCell="G11" sqref="G11"/>
    </sheetView>
  </sheetViews>
  <sheetFormatPr defaultRowHeight="15" x14ac:dyDescent="0.25"/>
  <cols>
    <col min="3" max="3" width="10.140625" bestFit="1" customWidth="1"/>
    <col min="8" max="8" width="10.140625" bestFit="1" customWidth="1"/>
  </cols>
  <sheetData>
    <row r="1" spans="1:8" x14ac:dyDescent="0.25">
      <c r="A1" s="59" t="s">
        <v>131</v>
      </c>
      <c r="B1" s="59" t="s">
        <v>136</v>
      </c>
      <c r="C1" t="s">
        <v>127</v>
      </c>
    </row>
    <row r="2" spans="1:8" x14ac:dyDescent="0.25">
      <c r="A2" s="59" t="s">
        <v>132</v>
      </c>
      <c r="B2" s="59">
        <v>45000</v>
      </c>
      <c r="C2" t="str">
        <f>CONCATENATE(A2," ",(IF(B2&gt;50000,"High","Low")))</f>
        <v>John Low</v>
      </c>
    </row>
    <row r="3" spans="1:8" x14ac:dyDescent="0.25">
      <c r="A3" s="59" t="s">
        <v>133</v>
      </c>
      <c r="B3" s="59">
        <v>55000</v>
      </c>
      <c r="C3" t="str">
        <f t="shared" ref="C3:C5" si="0">CONCATENATE(A3," ",(IF(B3&gt;50000,"High","Low")))</f>
        <v>Sally High</v>
      </c>
    </row>
    <row r="4" spans="1:8" x14ac:dyDescent="0.25">
      <c r="A4" s="59" t="s">
        <v>134</v>
      </c>
      <c r="B4" s="59">
        <v>70000</v>
      </c>
      <c r="C4" t="str">
        <f t="shared" si="0"/>
        <v>Kevin High</v>
      </c>
      <c r="G4" t="s">
        <v>134</v>
      </c>
      <c r="H4" t="str">
        <f>VLOOKUP(G4,A1:C5,3,0)</f>
        <v>Kevin High</v>
      </c>
    </row>
    <row r="5" spans="1:8" x14ac:dyDescent="0.25">
      <c r="A5" s="59" t="s">
        <v>135</v>
      </c>
      <c r="B5" s="59">
        <v>30000</v>
      </c>
      <c r="C5" t="str">
        <f t="shared" si="0"/>
        <v>Anna Low</v>
      </c>
    </row>
    <row r="6" spans="1:8" x14ac:dyDescent="0.25">
      <c r="H6" t="str" cm="1">
        <f t="array" ref="H6">INDEX(C1:C5,MATCH(G4,A1:A5,0),0)</f>
        <v>Kevin High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20FEB-E83D-426B-8096-C12674FBFA94}">
  <dimension ref="A1:B12"/>
  <sheetViews>
    <sheetView workbookViewId="0">
      <selection activeCell="B3" sqref="B3"/>
    </sheetView>
  </sheetViews>
  <sheetFormatPr defaultRowHeight="15" x14ac:dyDescent="0.25"/>
  <cols>
    <col min="1" max="1" width="15.28515625" customWidth="1"/>
  </cols>
  <sheetData>
    <row r="1" spans="1:2" x14ac:dyDescent="0.25">
      <c r="A1" s="1" t="s">
        <v>1</v>
      </c>
      <c r="B1" t="s">
        <v>107</v>
      </c>
    </row>
    <row r="2" spans="1:2" x14ac:dyDescent="0.25">
      <c r="A2">
        <v>2013</v>
      </c>
    </row>
    <row r="3" spans="1:2" x14ac:dyDescent="0.25">
      <c r="A3">
        <v>2014</v>
      </c>
    </row>
    <row r="4" spans="1:2" x14ac:dyDescent="0.25">
      <c r="A4">
        <v>2015</v>
      </c>
    </row>
    <row r="5" spans="1:2" x14ac:dyDescent="0.25">
      <c r="A5">
        <v>2016</v>
      </c>
    </row>
    <row r="6" spans="1:2" x14ac:dyDescent="0.25">
      <c r="A6">
        <v>2017</v>
      </c>
    </row>
    <row r="7" spans="1:2" x14ac:dyDescent="0.25">
      <c r="A7">
        <v>2018</v>
      </c>
    </row>
    <row r="8" spans="1:2" x14ac:dyDescent="0.25">
      <c r="A8">
        <v>2019</v>
      </c>
    </row>
    <row r="9" spans="1:2" x14ac:dyDescent="0.25">
      <c r="A9">
        <v>2020</v>
      </c>
    </row>
    <row r="10" spans="1:2" x14ac:dyDescent="0.25">
      <c r="A10">
        <v>2021</v>
      </c>
    </row>
    <row r="11" spans="1:2" x14ac:dyDescent="0.25">
      <c r="A11">
        <v>2022</v>
      </c>
    </row>
    <row r="12" spans="1:2" x14ac:dyDescent="0.25">
      <c r="A12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15D1-7822-4F3B-920F-CC14A67134B8}">
  <dimension ref="B3:X92"/>
  <sheetViews>
    <sheetView showGridLines="0" tabSelected="1" topLeftCell="A72" zoomScale="96" zoomScaleNormal="96" workbookViewId="0">
      <selection activeCell="G90" sqref="G90"/>
    </sheetView>
  </sheetViews>
  <sheetFormatPr defaultRowHeight="15" x14ac:dyDescent="0.25"/>
  <sheetData>
    <row r="3" spans="2:24" ht="15.75" thickBot="1" x14ac:dyDescent="0.3"/>
    <row r="4" spans="2:24" ht="15.75" thickBot="1" x14ac:dyDescent="0.3">
      <c r="B4" s="20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2"/>
    </row>
    <row r="5" spans="2:24" ht="15" customHeight="1" x14ac:dyDescent="0.25">
      <c r="B5" s="23"/>
      <c r="C5" s="24"/>
      <c r="D5" s="47">
        <v>4.9099999999999998E-2</v>
      </c>
      <c r="E5" s="48"/>
      <c r="F5" s="48"/>
      <c r="G5" s="49"/>
      <c r="H5" s="24"/>
      <c r="I5" s="38" t="s">
        <v>105</v>
      </c>
      <c r="J5" s="39"/>
      <c r="K5" s="39"/>
      <c r="L5" s="40"/>
      <c r="M5" s="24"/>
      <c r="N5" s="38" t="s">
        <v>75</v>
      </c>
      <c r="O5" s="39"/>
      <c r="P5" s="39"/>
      <c r="Q5" s="40"/>
      <c r="R5" s="25"/>
      <c r="S5" s="38">
        <v>165.91</v>
      </c>
      <c r="T5" s="39"/>
      <c r="U5" s="39"/>
      <c r="V5" s="40"/>
      <c r="W5" s="25"/>
      <c r="X5" s="26"/>
    </row>
    <row r="6" spans="2:24" ht="15" customHeight="1" x14ac:dyDescent="0.25">
      <c r="B6" s="23"/>
      <c r="C6" s="24"/>
      <c r="D6" s="50"/>
      <c r="E6" s="51"/>
      <c r="F6" s="51"/>
      <c r="G6" s="52"/>
      <c r="H6" s="24"/>
      <c r="I6" s="41"/>
      <c r="J6" s="42"/>
      <c r="K6" s="42"/>
      <c r="L6" s="43"/>
      <c r="M6" s="24"/>
      <c r="N6" s="41"/>
      <c r="O6" s="42"/>
      <c r="P6" s="42"/>
      <c r="Q6" s="43"/>
      <c r="R6" s="25"/>
      <c r="S6" s="41"/>
      <c r="T6" s="42"/>
      <c r="U6" s="42"/>
      <c r="V6" s="43"/>
      <c r="W6" s="25"/>
      <c r="X6" s="26"/>
    </row>
    <row r="7" spans="2:24" ht="15" customHeight="1" x14ac:dyDescent="0.25">
      <c r="B7" s="23"/>
      <c r="C7" s="24"/>
      <c r="D7" s="50"/>
      <c r="E7" s="51"/>
      <c r="F7" s="51"/>
      <c r="G7" s="52"/>
      <c r="H7" s="24"/>
      <c r="I7" s="41"/>
      <c r="J7" s="42"/>
      <c r="K7" s="42"/>
      <c r="L7" s="43"/>
      <c r="M7" s="24"/>
      <c r="N7" s="41"/>
      <c r="O7" s="42"/>
      <c r="P7" s="42"/>
      <c r="Q7" s="43"/>
      <c r="R7" s="25"/>
      <c r="S7" s="41"/>
      <c r="T7" s="42"/>
      <c r="U7" s="42"/>
      <c r="V7" s="43"/>
      <c r="W7" s="25"/>
      <c r="X7" s="26"/>
    </row>
    <row r="8" spans="2:24" ht="15" customHeight="1" x14ac:dyDescent="0.25">
      <c r="B8" s="23"/>
      <c r="C8" s="24"/>
      <c r="D8" s="50"/>
      <c r="E8" s="51"/>
      <c r="F8" s="51"/>
      <c r="G8" s="52"/>
      <c r="H8" s="24"/>
      <c r="I8" s="41"/>
      <c r="J8" s="42"/>
      <c r="K8" s="42"/>
      <c r="L8" s="43"/>
      <c r="M8" s="24"/>
      <c r="N8" s="41"/>
      <c r="O8" s="42"/>
      <c r="P8" s="42"/>
      <c r="Q8" s="43"/>
      <c r="R8" s="25"/>
      <c r="S8" s="41"/>
      <c r="T8" s="42"/>
      <c r="U8" s="42"/>
      <c r="V8" s="43"/>
      <c r="W8" s="25"/>
      <c r="X8" s="26"/>
    </row>
    <row r="9" spans="2:24" ht="15.75" customHeight="1" thickBot="1" x14ac:dyDescent="0.3">
      <c r="B9" s="23"/>
      <c r="C9" s="24"/>
      <c r="D9" s="53"/>
      <c r="E9" s="54"/>
      <c r="F9" s="54"/>
      <c r="G9" s="55"/>
      <c r="H9" s="24"/>
      <c r="I9" s="44"/>
      <c r="J9" s="45"/>
      <c r="K9" s="45"/>
      <c r="L9" s="46"/>
      <c r="M9" s="24"/>
      <c r="N9" s="44"/>
      <c r="O9" s="45"/>
      <c r="P9" s="45"/>
      <c r="Q9" s="46"/>
      <c r="R9" s="25"/>
      <c r="S9" s="44"/>
      <c r="T9" s="45"/>
      <c r="U9" s="45"/>
      <c r="V9" s="46"/>
      <c r="W9" s="25"/>
      <c r="X9" s="26"/>
    </row>
    <row r="10" spans="2:24" x14ac:dyDescent="0.25">
      <c r="B10" s="23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6"/>
    </row>
    <row r="11" spans="2:24" ht="16.5" thickBot="1" x14ac:dyDescent="0.3">
      <c r="B11" s="23"/>
      <c r="C11" s="25"/>
      <c r="D11" s="56" t="s">
        <v>69</v>
      </c>
      <c r="E11" s="56"/>
      <c r="F11" s="56"/>
      <c r="G11" s="56"/>
      <c r="H11" s="25"/>
      <c r="I11" s="56" t="s">
        <v>67</v>
      </c>
      <c r="J11" s="56"/>
      <c r="K11" s="56"/>
      <c r="L11" s="56"/>
      <c r="M11" s="25"/>
      <c r="N11" s="56" t="s">
        <v>70</v>
      </c>
      <c r="O11" s="56"/>
      <c r="P11" s="56"/>
      <c r="Q11" s="56"/>
      <c r="R11" s="25"/>
      <c r="S11" s="56" t="s">
        <v>68</v>
      </c>
      <c r="T11" s="56"/>
      <c r="U11" s="56"/>
      <c r="V11" s="56"/>
      <c r="W11" s="25"/>
      <c r="X11" s="26"/>
    </row>
    <row r="12" spans="2:24" x14ac:dyDescent="0.25">
      <c r="B12" s="23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6"/>
    </row>
    <row r="13" spans="2:24" x14ac:dyDescent="0.25">
      <c r="B13" s="23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6"/>
    </row>
    <row r="14" spans="2:24" x14ac:dyDescent="0.25">
      <c r="B14" s="23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6"/>
    </row>
    <row r="15" spans="2:24" x14ac:dyDescent="0.25">
      <c r="B15" s="23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6"/>
    </row>
    <row r="16" spans="2:24" x14ac:dyDescent="0.25">
      <c r="B16" s="23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6"/>
    </row>
    <row r="17" spans="2:24" x14ac:dyDescent="0.25">
      <c r="B17" s="23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6"/>
    </row>
    <row r="18" spans="2:24" x14ac:dyDescent="0.25">
      <c r="B18" s="23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6"/>
    </row>
    <row r="19" spans="2:24" x14ac:dyDescent="0.25">
      <c r="B19" s="23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6"/>
    </row>
    <row r="20" spans="2:24" x14ac:dyDescent="0.25">
      <c r="B20" s="23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6"/>
    </row>
    <row r="21" spans="2:24" x14ac:dyDescent="0.25">
      <c r="B21" s="23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6"/>
    </row>
    <row r="22" spans="2:24" x14ac:dyDescent="0.25">
      <c r="B22" s="23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6"/>
    </row>
    <row r="23" spans="2:24" x14ac:dyDescent="0.25">
      <c r="B23" s="23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6"/>
    </row>
    <row r="24" spans="2:24" x14ac:dyDescent="0.25">
      <c r="B24" s="23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6"/>
    </row>
    <row r="25" spans="2:24" x14ac:dyDescent="0.25">
      <c r="B25" s="23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6"/>
    </row>
    <row r="26" spans="2:24" x14ac:dyDescent="0.25">
      <c r="B26" s="23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6"/>
    </row>
    <row r="27" spans="2:24" x14ac:dyDescent="0.25">
      <c r="B27" s="23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6"/>
    </row>
    <row r="28" spans="2:24" x14ac:dyDescent="0.25">
      <c r="B28" s="23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6"/>
    </row>
    <row r="29" spans="2:24" x14ac:dyDescent="0.25">
      <c r="B29" s="23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6"/>
    </row>
    <row r="30" spans="2:24" x14ac:dyDescent="0.25">
      <c r="B30" s="23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6"/>
    </row>
    <row r="31" spans="2:24" x14ac:dyDescent="0.25">
      <c r="B31" s="23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6"/>
    </row>
    <row r="32" spans="2:24" x14ac:dyDescent="0.25">
      <c r="B32" s="23"/>
      <c r="C32" s="25"/>
      <c r="D32" s="27" t="s">
        <v>71</v>
      </c>
      <c r="E32" s="28" t="s">
        <v>104</v>
      </c>
      <c r="F32" s="25"/>
      <c r="G32" s="25"/>
      <c r="H32" s="25"/>
      <c r="I32" s="25"/>
      <c r="J32" s="25"/>
      <c r="K32" s="25"/>
      <c r="L32" s="25"/>
      <c r="M32" s="25"/>
      <c r="N32" s="27" t="s">
        <v>71</v>
      </c>
      <c r="O32" s="28" t="s">
        <v>73</v>
      </c>
      <c r="P32" s="25"/>
      <c r="Q32" s="25"/>
      <c r="R32" s="25"/>
      <c r="S32" s="25"/>
      <c r="T32" s="25"/>
      <c r="U32" s="25"/>
      <c r="V32" s="25"/>
      <c r="W32" s="25"/>
      <c r="X32" s="26"/>
    </row>
    <row r="33" spans="2:24" x14ac:dyDescent="0.25">
      <c r="B33" s="23"/>
      <c r="C33" s="25"/>
      <c r="D33" s="25"/>
      <c r="E33" s="28" t="s">
        <v>121</v>
      </c>
      <c r="F33" s="25"/>
      <c r="G33" s="25"/>
      <c r="H33" s="25"/>
      <c r="I33" s="25"/>
      <c r="J33" s="25"/>
      <c r="K33" s="25"/>
      <c r="L33" s="25"/>
      <c r="M33" s="25"/>
      <c r="N33" s="25"/>
      <c r="O33" s="28" t="s">
        <v>72</v>
      </c>
      <c r="P33" s="25"/>
      <c r="Q33" s="25"/>
      <c r="R33" s="25"/>
      <c r="S33" s="25"/>
      <c r="T33" s="25"/>
      <c r="U33" s="25"/>
      <c r="V33" s="25"/>
      <c r="W33" s="25"/>
      <c r="X33" s="26"/>
    </row>
    <row r="34" spans="2:24" x14ac:dyDescent="0.25">
      <c r="B34" s="23"/>
      <c r="C34" s="25"/>
      <c r="D34" s="27"/>
      <c r="E34" s="28" t="s">
        <v>122</v>
      </c>
      <c r="F34" s="25"/>
      <c r="G34" s="25"/>
      <c r="H34" s="25"/>
      <c r="I34" s="25"/>
      <c r="J34" s="25"/>
      <c r="K34" s="25"/>
      <c r="L34" s="25"/>
      <c r="M34" s="25"/>
      <c r="N34" s="27" t="s">
        <v>71</v>
      </c>
      <c r="O34" s="28" t="s">
        <v>74</v>
      </c>
      <c r="P34" s="28"/>
      <c r="Q34" s="25"/>
      <c r="R34" s="25"/>
      <c r="S34" s="25"/>
      <c r="T34" s="25"/>
      <c r="U34" s="25"/>
      <c r="V34" s="25"/>
      <c r="W34" s="25"/>
      <c r="X34" s="26"/>
    </row>
    <row r="35" spans="2:24" x14ac:dyDescent="0.25">
      <c r="B35" s="23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8"/>
      <c r="P35" s="28" t="s">
        <v>82</v>
      </c>
      <c r="Q35" s="25"/>
      <c r="R35" s="25"/>
      <c r="S35" s="25"/>
      <c r="T35" s="25"/>
      <c r="U35" s="25"/>
      <c r="V35" s="25"/>
      <c r="W35" s="25"/>
      <c r="X35" s="26"/>
    </row>
    <row r="36" spans="2:24" x14ac:dyDescent="0.25">
      <c r="B36" s="23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8" t="s">
        <v>83</v>
      </c>
      <c r="Q36" s="25"/>
      <c r="R36" s="25"/>
      <c r="S36" s="25"/>
      <c r="T36" s="25"/>
      <c r="U36" s="25"/>
      <c r="V36" s="25"/>
      <c r="W36" s="25"/>
      <c r="X36" s="26"/>
    </row>
    <row r="37" spans="2:24" x14ac:dyDescent="0.25">
      <c r="B37" s="23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8" t="s">
        <v>84</v>
      </c>
      <c r="Q37" s="25"/>
      <c r="R37" s="25"/>
      <c r="S37" s="25"/>
      <c r="T37" s="25"/>
      <c r="U37" s="25"/>
      <c r="V37" s="25"/>
      <c r="W37" s="25"/>
      <c r="X37" s="26"/>
    </row>
    <row r="38" spans="2:24" x14ac:dyDescent="0.25">
      <c r="B38" s="23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8" t="s">
        <v>81</v>
      </c>
      <c r="Q38" s="25"/>
      <c r="R38" s="25"/>
      <c r="S38" s="25"/>
      <c r="T38" s="25"/>
      <c r="U38" s="25"/>
      <c r="V38" s="25"/>
      <c r="W38" s="25"/>
      <c r="X38" s="26"/>
    </row>
    <row r="39" spans="2:24" x14ac:dyDescent="0.25">
      <c r="B39" s="23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6"/>
    </row>
    <row r="40" spans="2:24" x14ac:dyDescent="0.25">
      <c r="B40" s="23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6"/>
    </row>
    <row r="41" spans="2:24" x14ac:dyDescent="0.25">
      <c r="B41" s="23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6"/>
    </row>
    <row r="42" spans="2:24" x14ac:dyDescent="0.25">
      <c r="B42" s="23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6"/>
    </row>
    <row r="43" spans="2:24" x14ac:dyDescent="0.25">
      <c r="B43" s="23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6"/>
    </row>
    <row r="44" spans="2:24" x14ac:dyDescent="0.25">
      <c r="B44" s="23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6"/>
    </row>
    <row r="45" spans="2:24" x14ac:dyDescent="0.25">
      <c r="B45" s="23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6"/>
    </row>
    <row r="46" spans="2:24" x14ac:dyDescent="0.25">
      <c r="B46" s="23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6"/>
    </row>
    <row r="47" spans="2:24" x14ac:dyDescent="0.25">
      <c r="B47" s="23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6"/>
    </row>
    <row r="48" spans="2:24" x14ac:dyDescent="0.25">
      <c r="B48" s="23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6"/>
    </row>
    <row r="49" spans="2:24" x14ac:dyDescent="0.25">
      <c r="B49" s="23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6"/>
    </row>
    <row r="50" spans="2:24" x14ac:dyDescent="0.25">
      <c r="B50" s="23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6"/>
    </row>
    <row r="51" spans="2:24" x14ac:dyDescent="0.25">
      <c r="B51" s="23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6"/>
    </row>
    <row r="52" spans="2:24" x14ac:dyDescent="0.25">
      <c r="B52" s="23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6"/>
    </row>
    <row r="53" spans="2:24" x14ac:dyDescent="0.25">
      <c r="B53" s="23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6"/>
    </row>
    <row r="54" spans="2:24" x14ac:dyDescent="0.25">
      <c r="B54" s="23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6"/>
    </row>
    <row r="55" spans="2:24" x14ac:dyDescent="0.25">
      <c r="B55" s="23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6"/>
    </row>
    <row r="56" spans="2:24" x14ac:dyDescent="0.25">
      <c r="B56" s="23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6"/>
    </row>
    <row r="57" spans="2:24" x14ac:dyDescent="0.25">
      <c r="B57" s="23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6"/>
    </row>
    <row r="58" spans="2:24" x14ac:dyDescent="0.25">
      <c r="B58" s="23"/>
      <c r="C58" s="25"/>
      <c r="D58" s="27" t="s">
        <v>71</v>
      </c>
      <c r="E58" s="28" t="s">
        <v>78</v>
      </c>
      <c r="F58" s="25"/>
      <c r="G58" s="25"/>
      <c r="H58" s="25"/>
      <c r="I58" s="25"/>
      <c r="J58" s="25"/>
      <c r="K58" s="25"/>
      <c r="L58" s="25"/>
      <c r="M58" s="25"/>
      <c r="N58" s="27" t="s">
        <v>71</v>
      </c>
      <c r="O58" s="28" t="s">
        <v>80</v>
      </c>
      <c r="P58" s="28"/>
      <c r="Q58" s="25"/>
      <c r="R58" s="25"/>
      <c r="S58" s="25"/>
      <c r="T58" s="25"/>
      <c r="U58" s="25"/>
      <c r="V58" s="25"/>
      <c r="W58" s="25"/>
      <c r="X58" s="26"/>
    </row>
    <row r="59" spans="2:24" x14ac:dyDescent="0.25">
      <c r="B59" s="23"/>
      <c r="C59" s="25"/>
      <c r="D59" s="27" t="s">
        <v>71</v>
      </c>
      <c r="E59" s="28" t="s">
        <v>74</v>
      </c>
      <c r="F59" s="25"/>
      <c r="G59" s="25"/>
      <c r="H59" s="25"/>
      <c r="I59" s="25"/>
      <c r="J59" s="25"/>
      <c r="K59" s="25"/>
      <c r="L59" s="25"/>
      <c r="M59" s="25"/>
      <c r="N59" s="27" t="s">
        <v>71</v>
      </c>
      <c r="O59" s="28" t="s">
        <v>74</v>
      </c>
      <c r="P59" s="28"/>
      <c r="Q59" s="25"/>
      <c r="R59" s="25"/>
      <c r="S59" s="25"/>
      <c r="T59" s="25"/>
      <c r="U59" s="25"/>
      <c r="V59" s="25"/>
      <c r="W59" s="25"/>
      <c r="X59" s="26"/>
    </row>
    <row r="60" spans="2:24" x14ac:dyDescent="0.25">
      <c r="B60" s="23"/>
      <c r="C60" s="25"/>
      <c r="D60" s="25"/>
      <c r="E60" s="25"/>
      <c r="F60" s="28" t="s">
        <v>85</v>
      </c>
      <c r="G60" s="25"/>
      <c r="H60" s="25"/>
      <c r="I60" s="25"/>
      <c r="J60" s="25"/>
      <c r="K60" s="25"/>
      <c r="L60" s="25"/>
      <c r="M60" s="25"/>
      <c r="N60" s="25"/>
      <c r="O60" s="28"/>
      <c r="P60" s="28" t="s">
        <v>87</v>
      </c>
      <c r="Q60" s="25"/>
      <c r="R60" s="25"/>
      <c r="S60" s="25"/>
      <c r="T60" s="25"/>
      <c r="U60" s="25"/>
      <c r="V60" s="25"/>
      <c r="W60" s="25"/>
      <c r="X60" s="26"/>
    </row>
    <row r="61" spans="2:24" x14ac:dyDescent="0.25">
      <c r="B61" s="23"/>
      <c r="C61" s="25"/>
      <c r="D61" s="25"/>
      <c r="E61" s="25"/>
      <c r="F61" s="28" t="s">
        <v>86</v>
      </c>
      <c r="G61" s="25"/>
      <c r="H61" s="25"/>
      <c r="I61" s="25"/>
      <c r="J61" s="25"/>
      <c r="K61" s="25"/>
      <c r="L61" s="25"/>
      <c r="M61" s="25"/>
      <c r="N61" s="25"/>
      <c r="O61" s="28"/>
      <c r="P61" s="28" t="s">
        <v>88</v>
      </c>
      <c r="Q61" s="25"/>
      <c r="R61" s="25"/>
      <c r="S61" s="25"/>
      <c r="T61" s="25"/>
      <c r="U61" s="25"/>
      <c r="V61" s="25"/>
      <c r="W61" s="25"/>
      <c r="X61" s="26"/>
    </row>
    <row r="62" spans="2:24" x14ac:dyDescent="0.25">
      <c r="B62" s="23"/>
      <c r="C62" s="25"/>
      <c r="D62" s="25"/>
      <c r="E62" s="25"/>
      <c r="F62" s="28" t="s">
        <v>79</v>
      </c>
      <c r="G62" s="25"/>
      <c r="H62" s="25"/>
      <c r="I62" s="25"/>
      <c r="J62" s="25"/>
      <c r="K62" s="25"/>
      <c r="L62" s="25"/>
      <c r="M62" s="25"/>
      <c r="N62" s="25"/>
      <c r="O62" s="25"/>
      <c r="P62" s="28" t="s">
        <v>89</v>
      </c>
      <c r="Q62" s="25"/>
      <c r="R62" s="25"/>
      <c r="S62" s="25"/>
      <c r="T62" s="25"/>
      <c r="U62" s="25"/>
      <c r="V62" s="25"/>
      <c r="W62" s="25"/>
      <c r="X62" s="26"/>
    </row>
    <row r="63" spans="2:24" x14ac:dyDescent="0.25">
      <c r="B63" s="23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6"/>
    </row>
    <row r="64" spans="2:24" x14ac:dyDescent="0.25">
      <c r="B64" s="23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6"/>
    </row>
    <row r="65" spans="2:24" x14ac:dyDescent="0.25">
      <c r="B65" s="23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6"/>
    </row>
    <row r="66" spans="2:24" x14ac:dyDescent="0.25">
      <c r="B66" s="23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6"/>
    </row>
    <row r="67" spans="2:24" x14ac:dyDescent="0.25">
      <c r="B67" s="23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6"/>
    </row>
    <row r="68" spans="2:24" x14ac:dyDescent="0.25">
      <c r="B68" s="23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6"/>
    </row>
    <row r="69" spans="2:24" ht="15.75" thickBot="1" x14ac:dyDescent="0.3">
      <c r="B69" s="23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6"/>
    </row>
    <row r="70" spans="2:24" ht="21" x14ac:dyDescent="0.35">
      <c r="B70" s="23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32" t="s">
        <v>90</v>
      </c>
      <c r="Q70" s="33"/>
      <c r="R70" s="21"/>
      <c r="S70" s="21"/>
      <c r="T70" s="21"/>
      <c r="U70" s="21"/>
      <c r="V70" s="21"/>
      <c r="W70" s="21"/>
      <c r="X70" s="22"/>
    </row>
    <row r="71" spans="2:24" x14ac:dyDescent="0.25">
      <c r="B71" s="23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34"/>
      <c r="Q71" s="28" t="s">
        <v>92</v>
      </c>
      <c r="R71" s="25"/>
      <c r="S71" s="25"/>
      <c r="T71" s="25"/>
      <c r="U71" s="25"/>
      <c r="V71" s="25"/>
      <c r="W71" s="25"/>
      <c r="X71" s="26"/>
    </row>
    <row r="72" spans="2:24" x14ac:dyDescent="0.25">
      <c r="B72" s="23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34"/>
      <c r="Q72" s="28" t="s">
        <v>91</v>
      </c>
      <c r="R72" s="25"/>
      <c r="S72" s="25"/>
      <c r="T72" s="25"/>
      <c r="U72" s="25"/>
      <c r="V72" s="25"/>
      <c r="W72" s="25"/>
      <c r="X72" s="26"/>
    </row>
    <row r="73" spans="2:24" x14ac:dyDescent="0.25">
      <c r="B73" s="23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34"/>
      <c r="Q73" s="28" t="s">
        <v>93</v>
      </c>
      <c r="R73" s="25"/>
      <c r="S73" s="25"/>
      <c r="T73" s="25"/>
      <c r="U73" s="25"/>
      <c r="V73" s="25"/>
      <c r="W73" s="25"/>
      <c r="X73" s="26"/>
    </row>
    <row r="74" spans="2:24" x14ac:dyDescent="0.25">
      <c r="B74" s="23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34"/>
      <c r="Q74" s="28" t="s">
        <v>94</v>
      </c>
      <c r="R74" s="25"/>
      <c r="S74" s="25"/>
      <c r="T74" s="25"/>
      <c r="U74" s="25"/>
      <c r="V74" s="25"/>
      <c r="W74" s="25"/>
      <c r="X74" s="26"/>
    </row>
    <row r="75" spans="2:24" x14ac:dyDescent="0.25">
      <c r="B75" s="23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34"/>
      <c r="Q75" s="28" t="s">
        <v>95</v>
      </c>
      <c r="R75" s="25"/>
      <c r="S75" s="25"/>
      <c r="T75" s="25"/>
      <c r="U75" s="25"/>
      <c r="V75" s="25"/>
      <c r="W75" s="25"/>
      <c r="X75" s="26"/>
    </row>
    <row r="76" spans="2:24" x14ac:dyDescent="0.25">
      <c r="B76" s="23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34"/>
      <c r="Q76" s="28" t="s">
        <v>96</v>
      </c>
      <c r="R76" s="25"/>
      <c r="S76" s="25"/>
      <c r="T76" s="25"/>
      <c r="U76" s="25"/>
      <c r="V76" s="25"/>
      <c r="W76" s="25"/>
      <c r="X76" s="26"/>
    </row>
    <row r="77" spans="2:24" x14ac:dyDescent="0.25">
      <c r="B77" s="23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34"/>
      <c r="Q77" s="28" t="s">
        <v>98</v>
      </c>
      <c r="R77" s="25"/>
      <c r="S77" s="25"/>
      <c r="T77" s="25"/>
      <c r="U77" s="25"/>
      <c r="V77" s="25"/>
      <c r="W77" s="25"/>
      <c r="X77" s="26"/>
    </row>
    <row r="78" spans="2:24" x14ac:dyDescent="0.25">
      <c r="B78" s="23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34"/>
      <c r="Q78" s="28" t="s">
        <v>97</v>
      </c>
      <c r="R78" s="25"/>
      <c r="S78" s="25"/>
      <c r="T78" s="25"/>
      <c r="U78" s="25"/>
      <c r="V78" s="25"/>
      <c r="W78" s="25"/>
      <c r="X78" s="26"/>
    </row>
    <row r="79" spans="2:24" x14ac:dyDescent="0.25">
      <c r="B79" s="23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34"/>
      <c r="Q79" s="28" t="s">
        <v>100</v>
      </c>
      <c r="R79" s="25"/>
      <c r="S79" s="25"/>
      <c r="T79" s="25"/>
      <c r="U79" s="25"/>
      <c r="V79" s="25"/>
      <c r="W79" s="25"/>
      <c r="X79" s="26"/>
    </row>
    <row r="80" spans="2:24" x14ac:dyDescent="0.25">
      <c r="B80" s="23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34"/>
      <c r="Q80" s="28" t="s">
        <v>99</v>
      </c>
      <c r="R80" s="25"/>
      <c r="S80" s="25"/>
      <c r="T80" s="25"/>
      <c r="U80" s="25"/>
      <c r="V80" s="25"/>
      <c r="W80" s="25"/>
      <c r="X80" s="26"/>
    </row>
    <row r="81" spans="2:24" ht="15.75" thickBot="1" x14ac:dyDescent="0.3">
      <c r="B81" s="23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9"/>
      <c r="Q81" s="30"/>
      <c r="R81" s="30"/>
      <c r="S81" s="30"/>
      <c r="T81" s="30"/>
      <c r="U81" s="30"/>
      <c r="V81" s="30"/>
      <c r="W81" s="30"/>
      <c r="X81" s="31"/>
    </row>
    <row r="82" spans="2:24" x14ac:dyDescent="0.25">
      <c r="B82" s="23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6"/>
    </row>
    <row r="83" spans="2:24" x14ac:dyDescent="0.25">
      <c r="B83" s="23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6"/>
    </row>
    <row r="84" spans="2:24" x14ac:dyDescent="0.25">
      <c r="B84" s="23"/>
      <c r="C84" s="25"/>
      <c r="D84" s="25"/>
      <c r="E84" s="27" t="s">
        <v>71</v>
      </c>
      <c r="F84" s="28" t="s">
        <v>101</v>
      </c>
      <c r="G84" s="28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6"/>
    </row>
    <row r="85" spans="2:24" x14ac:dyDescent="0.25">
      <c r="B85" s="23"/>
      <c r="C85" s="25"/>
      <c r="D85" s="25"/>
      <c r="E85" s="28"/>
      <c r="F85" s="28" t="s">
        <v>102</v>
      </c>
      <c r="G85" s="28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6"/>
    </row>
    <row r="86" spans="2:24" ht="15.75" thickBot="1" x14ac:dyDescent="0.3"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6"/>
    </row>
    <row r="87" spans="2:24" ht="15.75" thickBot="1" x14ac:dyDescent="0.3">
      <c r="B87" s="29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5" t="s">
        <v>103</v>
      </c>
      <c r="V87" s="36"/>
      <c r="W87" s="37"/>
      <c r="X87" s="31"/>
    </row>
    <row r="89" spans="2:24" x14ac:dyDescent="0.25">
      <c r="F89" s="1" t="s">
        <v>139</v>
      </c>
    </row>
    <row r="90" spans="2:24" x14ac:dyDescent="0.25">
      <c r="F90" s="60" t="s">
        <v>126</v>
      </c>
    </row>
    <row r="91" spans="2:24" x14ac:dyDescent="0.25">
      <c r="F91" t="s">
        <v>137</v>
      </c>
    </row>
    <row r="92" spans="2:24" x14ac:dyDescent="0.25">
      <c r="F92" t="s">
        <v>138</v>
      </c>
    </row>
  </sheetData>
  <mergeCells count="8">
    <mergeCell ref="N5:Q9"/>
    <mergeCell ref="S5:V9"/>
    <mergeCell ref="D5:G9"/>
    <mergeCell ref="D11:G11"/>
    <mergeCell ref="I11:L11"/>
    <mergeCell ref="N11:Q11"/>
    <mergeCell ref="S11:V11"/>
    <mergeCell ref="I5:L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29BD2-5929-4D4D-9D25-5ACF4DF09FF7}">
  <dimension ref="A1:M2"/>
  <sheetViews>
    <sheetView workbookViewId="0">
      <selection activeCell="G24" sqref="G24"/>
    </sheetView>
  </sheetViews>
  <sheetFormatPr defaultRowHeight="15" x14ac:dyDescent="0.25"/>
  <cols>
    <col min="1" max="1" width="6.85546875" bestFit="1" customWidth="1"/>
    <col min="2" max="2" width="5" bestFit="1" customWidth="1"/>
    <col min="3" max="3" width="6.7109375" bestFit="1" customWidth="1"/>
    <col min="4" max="4" width="5.28515625" bestFit="1" customWidth="1"/>
    <col min="5" max="5" width="19.140625" bestFit="1" customWidth="1"/>
    <col min="6" max="6" width="27.140625" bestFit="1" customWidth="1"/>
    <col min="7" max="7" width="21.140625" bestFit="1" customWidth="1"/>
    <col min="8" max="8" width="8.42578125" bestFit="1" customWidth="1"/>
    <col min="9" max="9" width="13.140625" bestFit="1" customWidth="1"/>
    <col min="10" max="10" width="29" bestFit="1" customWidth="1"/>
    <col min="11" max="11" width="7" bestFit="1" customWidth="1"/>
    <col min="12" max="12" width="28.28515625" bestFit="1" customWidth="1"/>
    <col min="13" max="13" width="10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35</v>
      </c>
      <c r="E1" s="1" t="s">
        <v>15</v>
      </c>
      <c r="F1" s="1" t="s">
        <v>16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26</v>
      </c>
    </row>
    <row r="2" spans="1:13" x14ac:dyDescent="0.25">
      <c r="A2" t="s">
        <v>33</v>
      </c>
      <c r="B2">
        <v>2023</v>
      </c>
      <c r="C2" t="s">
        <v>34</v>
      </c>
      <c r="D2" t="s">
        <v>36</v>
      </c>
      <c r="E2">
        <v>179.1</v>
      </c>
      <c r="F2">
        <v>201</v>
      </c>
      <c r="G2">
        <v>186.2</v>
      </c>
      <c r="H2">
        <v>175.6</v>
      </c>
      <c r="I2">
        <v>182.8</v>
      </c>
      <c r="J2">
        <v>175.2</v>
      </c>
      <c r="K2">
        <v>185.7</v>
      </c>
      <c r="L2">
        <v>164.8</v>
      </c>
      <c r="M2">
        <v>177.1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1D5C0-BF0A-4345-9463-04D4510AE248}">
  <dimension ref="A3:P14"/>
  <sheetViews>
    <sheetView workbookViewId="0">
      <selection activeCell="J10" sqref="J10"/>
    </sheetView>
  </sheetViews>
  <sheetFormatPr defaultRowHeight="15" x14ac:dyDescent="0.25"/>
  <cols>
    <col min="1" max="1" width="13.42578125" bestFit="1" customWidth="1"/>
    <col min="2" max="2" width="23.85546875" bestFit="1" customWidth="1"/>
    <col min="5" max="5" width="13.42578125" bestFit="1" customWidth="1"/>
    <col min="6" max="6" width="23.85546875" bestFit="1" customWidth="1"/>
    <col min="8" max="8" width="11.28515625" bestFit="1" customWidth="1"/>
    <col min="9" max="9" width="22.85546875" bestFit="1" customWidth="1"/>
  </cols>
  <sheetData>
    <row r="3" spans="1:16" x14ac:dyDescent="0.25">
      <c r="A3" s="2" t="s">
        <v>37</v>
      </c>
      <c r="B3" t="s">
        <v>39</v>
      </c>
      <c r="E3" s="2" t="s">
        <v>37</v>
      </c>
      <c r="F3" t="s">
        <v>39</v>
      </c>
      <c r="H3" t="s">
        <v>37</v>
      </c>
      <c r="I3" t="s">
        <v>39</v>
      </c>
    </row>
    <row r="4" spans="1:16" x14ac:dyDescent="0.25">
      <c r="A4" s="3" t="s">
        <v>123</v>
      </c>
      <c r="B4" s="4">
        <v>116.79259259259258</v>
      </c>
      <c r="E4" s="3" t="s">
        <v>123</v>
      </c>
      <c r="F4" s="4">
        <v>116.79259259259258</v>
      </c>
      <c r="H4">
        <v>2013</v>
      </c>
      <c r="I4" s="16">
        <v>0</v>
      </c>
    </row>
    <row r="5" spans="1:16" x14ac:dyDescent="0.25">
      <c r="A5" s="3" t="s">
        <v>124</v>
      </c>
      <c r="B5" s="4">
        <v>136.15460992907802</v>
      </c>
      <c r="E5" s="3" t="s">
        <v>124</v>
      </c>
      <c r="F5" s="4">
        <v>136.15460992907802</v>
      </c>
      <c r="H5">
        <v>2014</v>
      </c>
      <c r="I5" s="16">
        <v>6.6481504860497226E-2</v>
      </c>
      <c r="J5" s="5">
        <f>AVERAGE(I5:I14)</f>
        <v>4.9113384536560986E-2</v>
      </c>
      <c r="N5">
        <f>GETPIVOTDATA("General index",$A$3,"Year",2014)-GETPIVOTDATA("General index",$A$3,"Year",2013)</f>
        <v>0</v>
      </c>
      <c r="O5">
        <f>N5/GETPIVOTDATA("General index",$A$3,"Year",2013)</f>
        <v>0</v>
      </c>
      <c r="P5">
        <f>O5*100</f>
        <v>0</v>
      </c>
    </row>
    <row r="6" spans="1:16" x14ac:dyDescent="0.25">
      <c r="A6" s="3" t="s">
        <v>125</v>
      </c>
      <c r="B6" s="4">
        <v>163.93983739837395</v>
      </c>
      <c r="E6" s="3" t="s">
        <v>125</v>
      </c>
      <c r="F6" s="4">
        <v>163.93983739837395</v>
      </c>
      <c r="H6">
        <v>2015</v>
      </c>
      <c r="I6" s="16">
        <v>4.8652871821582552E-2</v>
      </c>
    </row>
    <row r="7" spans="1:16" x14ac:dyDescent="0.25">
      <c r="A7" s="3" t="s">
        <v>38</v>
      </c>
      <c r="B7" s="4">
        <v>139.72043010752685</v>
      </c>
      <c r="E7" s="3" t="s">
        <v>38</v>
      </c>
      <c r="F7" s="4">
        <v>139.72043010752685</v>
      </c>
      <c r="H7">
        <v>2016</v>
      </c>
      <c r="I7" s="16">
        <v>4.9285440137268044E-2</v>
      </c>
    </row>
    <row r="8" spans="1:16" x14ac:dyDescent="0.25">
      <c r="H8">
        <v>2017</v>
      </c>
      <c r="I8" s="16">
        <v>3.3199931147258686E-2</v>
      </c>
    </row>
    <row r="9" spans="1:16" x14ac:dyDescent="0.25">
      <c r="H9">
        <v>2018</v>
      </c>
      <c r="I9" s="16">
        <v>3.9609321310314437E-2</v>
      </c>
    </row>
    <row r="10" spans="1:16" x14ac:dyDescent="0.25">
      <c r="H10">
        <v>2019</v>
      </c>
      <c r="I10" s="16">
        <v>3.9358550145593821E-2</v>
      </c>
    </row>
    <row r="11" spans="1:16" x14ac:dyDescent="0.25">
      <c r="H11">
        <v>2020</v>
      </c>
      <c r="I11" s="16">
        <v>5.9114068654247731E-2</v>
      </c>
    </row>
    <row r="12" spans="1:16" x14ac:dyDescent="0.25">
      <c r="H12">
        <v>2021</v>
      </c>
      <c r="I12" s="16">
        <v>5.7449092861172474E-2</v>
      </c>
    </row>
    <row r="13" spans="1:16" x14ac:dyDescent="0.25">
      <c r="H13">
        <v>2022</v>
      </c>
      <c r="I13" s="16">
        <v>6.6029943211151423E-2</v>
      </c>
    </row>
    <row r="14" spans="1:16" x14ac:dyDescent="0.25">
      <c r="H14">
        <v>2023</v>
      </c>
      <c r="I14" s="16">
        <v>3.1953121216523474E-2</v>
      </c>
    </row>
  </sheetData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63DFB-EF75-4549-81DB-9EAB72EA46BC}">
  <dimension ref="A1:AO125"/>
  <sheetViews>
    <sheetView topLeftCell="R10" workbookViewId="0">
      <selection activeCell="AI29" sqref="AI29"/>
    </sheetView>
  </sheetViews>
  <sheetFormatPr defaultRowHeight="15" x14ac:dyDescent="0.25"/>
  <cols>
    <col min="1" max="1" width="12.140625" bestFit="1" customWidth="1"/>
    <col min="2" max="2" width="5" bestFit="1" customWidth="1"/>
    <col min="3" max="3" width="16.28515625" customWidth="1"/>
    <col min="4" max="4" width="28.42578125" style="9" customWidth="1"/>
    <col min="5" max="5" width="13.140625" bestFit="1" customWidth="1"/>
    <col min="6" max="6" width="6" bestFit="1" customWidth="1"/>
    <col min="7" max="7" width="17" bestFit="1" customWidth="1"/>
    <col min="8" max="8" width="12.140625" bestFit="1" customWidth="1"/>
    <col min="9" max="9" width="6.140625" bestFit="1" customWidth="1"/>
    <col min="10" max="10" width="11" bestFit="1" customWidth="1"/>
    <col min="11" max="11" width="19.42578125" bestFit="1" customWidth="1"/>
    <col min="12" max="12" width="34.28515625" bestFit="1" customWidth="1"/>
    <col min="13" max="13" width="19.140625" bestFit="1" customWidth="1"/>
    <col min="14" max="14" width="16.42578125" style="9" bestFit="1" customWidth="1"/>
    <col min="15" max="15" width="7.28515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7" t="s">
        <v>35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14</v>
      </c>
      <c r="M1" s="1" t="s">
        <v>15</v>
      </c>
      <c r="N1" s="7" t="s">
        <v>41</v>
      </c>
    </row>
    <row r="2" spans="1:16" x14ac:dyDescent="0.25">
      <c r="A2" t="s">
        <v>33</v>
      </c>
      <c r="B2">
        <v>2013</v>
      </c>
      <c r="C2">
        <v>1</v>
      </c>
      <c r="D2" s="10">
        <v>41275</v>
      </c>
      <c r="E2">
        <v>107.3</v>
      </c>
      <c r="F2">
        <v>110</v>
      </c>
      <c r="G2">
        <v>104.4</v>
      </c>
      <c r="H2">
        <v>105.1</v>
      </c>
      <c r="I2">
        <v>103.2</v>
      </c>
      <c r="J2">
        <v>102.2</v>
      </c>
      <c r="K2">
        <v>106</v>
      </c>
      <c r="L2">
        <v>107.3</v>
      </c>
      <c r="M2">
        <v>105.6</v>
      </c>
      <c r="N2" s="8">
        <v>0</v>
      </c>
    </row>
    <row r="3" spans="1:16" x14ac:dyDescent="0.25">
      <c r="A3" t="s">
        <v>33</v>
      </c>
      <c r="B3">
        <v>2013</v>
      </c>
      <c r="C3">
        <v>2</v>
      </c>
      <c r="D3" s="10">
        <v>41306</v>
      </c>
      <c r="E3">
        <v>110.2</v>
      </c>
      <c r="F3">
        <v>112.8</v>
      </c>
      <c r="G3">
        <v>104.9</v>
      </c>
      <c r="H3">
        <v>105.5</v>
      </c>
      <c r="I3">
        <v>103.6</v>
      </c>
      <c r="J3">
        <v>103.2</v>
      </c>
      <c r="K3">
        <v>105.3</v>
      </c>
      <c r="L3">
        <v>108.3</v>
      </c>
      <c r="M3">
        <v>106.6</v>
      </c>
      <c r="N3" s="19">
        <v>9.46969696969697E-3</v>
      </c>
      <c r="O3" s="10">
        <v>41760</v>
      </c>
      <c r="P3" t="s">
        <v>42</v>
      </c>
    </row>
    <row r="4" spans="1:16" x14ac:dyDescent="0.25">
      <c r="A4" t="s">
        <v>33</v>
      </c>
      <c r="B4">
        <v>2013</v>
      </c>
      <c r="C4">
        <v>3</v>
      </c>
      <c r="D4" s="10">
        <v>41334</v>
      </c>
      <c r="E4">
        <v>109.7</v>
      </c>
      <c r="F4">
        <v>111.2</v>
      </c>
      <c r="G4">
        <v>105.1</v>
      </c>
      <c r="H4">
        <v>104.9</v>
      </c>
      <c r="I4">
        <v>105.3</v>
      </c>
      <c r="J4">
        <v>102.2</v>
      </c>
      <c r="K4">
        <v>105</v>
      </c>
      <c r="L4">
        <v>108.9</v>
      </c>
      <c r="M4">
        <v>106.9</v>
      </c>
      <c r="N4" s="19">
        <v>2.8142589118199941E-3</v>
      </c>
      <c r="O4" s="10">
        <v>41548</v>
      </c>
      <c r="P4" t="s">
        <v>43</v>
      </c>
    </row>
    <row r="5" spans="1:16" x14ac:dyDescent="0.25">
      <c r="A5" t="s">
        <v>33</v>
      </c>
      <c r="B5">
        <v>2013</v>
      </c>
      <c r="C5">
        <v>4</v>
      </c>
      <c r="D5" s="10">
        <v>41365</v>
      </c>
      <c r="E5">
        <v>110.9</v>
      </c>
      <c r="F5">
        <v>106.6</v>
      </c>
      <c r="G5">
        <v>105.7</v>
      </c>
      <c r="H5">
        <v>104.4</v>
      </c>
      <c r="I5">
        <v>108.9</v>
      </c>
      <c r="J5">
        <v>105.5</v>
      </c>
      <c r="K5">
        <v>105.3</v>
      </c>
      <c r="L5">
        <v>109.6</v>
      </c>
      <c r="M5">
        <v>107.7</v>
      </c>
      <c r="N5" s="19">
        <v>7.4836295603367365E-3</v>
      </c>
    </row>
    <row r="6" spans="1:16" x14ac:dyDescent="0.25">
      <c r="A6" t="s">
        <v>33</v>
      </c>
      <c r="B6">
        <v>2013</v>
      </c>
      <c r="C6">
        <v>5</v>
      </c>
      <c r="D6" s="10">
        <v>41395</v>
      </c>
      <c r="E6">
        <v>111.3</v>
      </c>
      <c r="F6">
        <v>104.7</v>
      </c>
      <c r="G6">
        <v>106.8</v>
      </c>
      <c r="H6">
        <v>103.9</v>
      </c>
      <c r="I6">
        <v>109.3</v>
      </c>
      <c r="J6">
        <v>112.9</v>
      </c>
      <c r="K6">
        <v>105.8</v>
      </c>
      <c r="L6">
        <v>110.5</v>
      </c>
      <c r="M6">
        <v>109.2</v>
      </c>
      <c r="N6" s="19">
        <v>1.3927576601671309E-2</v>
      </c>
      <c r="O6" s="5">
        <f>MIN(N3:N125)</f>
        <v>-3.4257748776508883E-2</v>
      </c>
    </row>
    <row r="7" spans="1:16" x14ac:dyDescent="0.25">
      <c r="A7" t="s">
        <v>33</v>
      </c>
      <c r="B7">
        <v>2013</v>
      </c>
      <c r="C7">
        <v>6</v>
      </c>
      <c r="D7" s="10">
        <v>41426</v>
      </c>
      <c r="E7">
        <v>114.9</v>
      </c>
      <c r="F7">
        <v>109.8</v>
      </c>
      <c r="G7">
        <v>107.9</v>
      </c>
      <c r="H7">
        <v>104.2</v>
      </c>
      <c r="I7">
        <v>110.7</v>
      </c>
      <c r="J7">
        <v>126.7</v>
      </c>
      <c r="K7">
        <v>106.3</v>
      </c>
      <c r="L7">
        <v>111.6</v>
      </c>
      <c r="M7">
        <v>112.2</v>
      </c>
      <c r="N7" s="19">
        <v>2.7472527472527472E-2</v>
      </c>
      <c r="O7" s="5">
        <f>MAX(N3:N125)</f>
        <v>3.5714285714285691E-2</v>
      </c>
    </row>
    <row r="8" spans="1:16" x14ac:dyDescent="0.25">
      <c r="A8" t="s">
        <v>33</v>
      </c>
      <c r="B8">
        <v>2013</v>
      </c>
      <c r="C8">
        <v>7</v>
      </c>
      <c r="D8" s="10">
        <v>41456</v>
      </c>
      <c r="E8">
        <v>116.4</v>
      </c>
      <c r="F8">
        <v>111.9</v>
      </c>
      <c r="G8">
        <v>108.9</v>
      </c>
      <c r="H8">
        <v>104.3</v>
      </c>
      <c r="I8">
        <v>111.7</v>
      </c>
      <c r="J8">
        <v>140</v>
      </c>
      <c r="K8">
        <v>106.4</v>
      </c>
      <c r="L8">
        <v>112.6</v>
      </c>
      <c r="M8">
        <v>114.7</v>
      </c>
      <c r="N8" s="19">
        <v>2.2281639928698752E-2</v>
      </c>
    </row>
    <row r="9" spans="1:16" x14ac:dyDescent="0.25">
      <c r="A9" t="s">
        <v>33</v>
      </c>
      <c r="B9">
        <v>2013</v>
      </c>
      <c r="C9">
        <v>8</v>
      </c>
      <c r="D9" s="10">
        <v>41487</v>
      </c>
      <c r="E9">
        <v>117.2</v>
      </c>
      <c r="F9">
        <v>111.7</v>
      </c>
      <c r="G9">
        <v>109.6</v>
      </c>
      <c r="H9">
        <v>104.5</v>
      </c>
      <c r="I9">
        <v>109.8</v>
      </c>
      <c r="J9">
        <v>151.80000000000001</v>
      </c>
      <c r="K9">
        <v>106.5</v>
      </c>
      <c r="L9">
        <v>113.4</v>
      </c>
      <c r="M9">
        <v>116.6</v>
      </c>
      <c r="N9" s="19">
        <v>1.6564952048822943E-2</v>
      </c>
    </row>
    <row r="10" spans="1:16" x14ac:dyDescent="0.25">
      <c r="A10" t="s">
        <v>33</v>
      </c>
      <c r="B10">
        <v>2013</v>
      </c>
      <c r="C10">
        <v>9</v>
      </c>
      <c r="D10" s="10">
        <v>41518</v>
      </c>
      <c r="E10">
        <v>116.9</v>
      </c>
      <c r="F10">
        <v>112.3</v>
      </c>
      <c r="G10">
        <v>110.5</v>
      </c>
      <c r="H10">
        <v>105.3</v>
      </c>
      <c r="I10">
        <v>107.3</v>
      </c>
      <c r="J10">
        <v>160.9</v>
      </c>
      <c r="K10">
        <v>107.1</v>
      </c>
      <c r="L10">
        <v>114.6</v>
      </c>
      <c r="M10">
        <v>118.3</v>
      </c>
      <c r="N10" s="19">
        <v>1.4579759862778756E-2</v>
      </c>
    </row>
    <row r="11" spans="1:16" x14ac:dyDescent="0.25">
      <c r="A11" t="s">
        <v>33</v>
      </c>
      <c r="B11">
        <v>2013</v>
      </c>
      <c r="C11">
        <v>10</v>
      </c>
      <c r="D11" s="10">
        <v>41548</v>
      </c>
      <c r="E11">
        <v>116.3</v>
      </c>
      <c r="F11">
        <v>113.3</v>
      </c>
      <c r="G11">
        <v>111.2</v>
      </c>
      <c r="H11">
        <v>105.7</v>
      </c>
      <c r="I11">
        <v>109.9</v>
      </c>
      <c r="J11">
        <v>171.2</v>
      </c>
      <c r="K11">
        <v>107.3</v>
      </c>
      <c r="L11">
        <v>115.4</v>
      </c>
      <c r="M11">
        <v>120.2</v>
      </c>
      <c r="N11" s="19">
        <v>1.6060862214708416E-2</v>
      </c>
    </row>
    <row r="12" spans="1:16" x14ac:dyDescent="0.25">
      <c r="A12" t="s">
        <v>33</v>
      </c>
      <c r="B12">
        <v>2013</v>
      </c>
      <c r="C12">
        <v>11</v>
      </c>
      <c r="D12" s="10">
        <v>41579</v>
      </c>
      <c r="E12">
        <v>115.4</v>
      </c>
      <c r="F12">
        <v>118.7</v>
      </c>
      <c r="G12">
        <v>112.5</v>
      </c>
      <c r="H12">
        <v>106.8</v>
      </c>
      <c r="I12">
        <v>113.5</v>
      </c>
      <c r="J12">
        <v>183.1</v>
      </c>
      <c r="K12">
        <v>108.2</v>
      </c>
      <c r="L12">
        <v>116.5</v>
      </c>
      <c r="M12">
        <v>122.6</v>
      </c>
      <c r="N12" s="19">
        <v>1.9966722129783624E-2</v>
      </c>
    </row>
    <row r="13" spans="1:16" x14ac:dyDescent="0.25">
      <c r="A13" t="s">
        <v>33</v>
      </c>
      <c r="B13">
        <v>2013</v>
      </c>
      <c r="C13">
        <v>12</v>
      </c>
      <c r="D13" s="10">
        <v>41609</v>
      </c>
      <c r="E13">
        <v>116.7</v>
      </c>
      <c r="F13">
        <v>123.5</v>
      </c>
      <c r="G13">
        <v>113.4</v>
      </c>
      <c r="H13">
        <v>107.3</v>
      </c>
      <c r="I13">
        <v>113.3</v>
      </c>
      <c r="J13">
        <v>145.4</v>
      </c>
      <c r="K13">
        <v>108.7</v>
      </c>
      <c r="L13">
        <v>117.4</v>
      </c>
      <c r="M13">
        <v>118.4</v>
      </c>
      <c r="N13" s="19">
        <v>-3.4257748776508883E-2</v>
      </c>
    </row>
    <row r="14" spans="1:16" x14ac:dyDescent="0.25">
      <c r="A14" t="s">
        <v>33</v>
      </c>
      <c r="B14">
        <v>2014</v>
      </c>
      <c r="C14">
        <v>1</v>
      </c>
      <c r="D14" s="10">
        <v>41640</v>
      </c>
      <c r="E14">
        <v>118.8</v>
      </c>
      <c r="F14">
        <v>124.1</v>
      </c>
      <c r="G14">
        <v>114.1</v>
      </c>
      <c r="H14">
        <v>106.8</v>
      </c>
      <c r="I14">
        <v>113.9</v>
      </c>
      <c r="J14">
        <v>122.2</v>
      </c>
      <c r="K14">
        <v>108.9</v>
      </c>
      <c r="L14">
        <v>118.1</v>
      </c>
      <c r="M14">
        <v>115.8</v>
      </c>
      <c r="N14" s="19">
        <v>-2.195945945945953E-2</v>
      </c>
    </row>
    <row r="15" spans="1:16" x14ac:dyDescent="0.25">
      <c r="A15" t="s">
        <v>33</v>
      </c>
      <c r="B15">
        <v>2014</v>
      </c>
      <c r="C15">
        <v>2</v>
      </c>
      <c r="D15" s="10">
        <v>41671</v>
      </c>
      <c r="E15">
        <v>119.2</v>
      </c>
      <c r="F15">
        <v>122.5</v>
      </c>
      <c r="G15">
        <v>115.1</v>
      </c>
      <c r="H15">
        <v>106.6</v>
      </c>
      <c r="I15">
        <v>115.4</v>
      </c>
      <c r="J15">
        <v>114.5</v>
      </c>
      <c r="K15">
        <v>109.3</v>
      </c>
      <c r="L15">
        <v>118.8</v>
      </c>
      <c r="M15">
        <v>115.3</v>
      </c>
      <c r="N15" s="19">
        <v>-4.3177892918825561E-3</v>
      </c>
    </row>
    <row r="16" spans="1:16" x14ac:dyDescent="0.25">
      <c r="A16" t="s">
        <v>33</v>
      </c>
      <c r="B16">
        <v>2014</v>
      </c>
      <c r="C16">
        <v>3</v>
      </c>
      <c r="D16" s="10">
        <v>41699</v>
      </c>
      <c r="E16">
        <v>119.3</v>
      </c>
      <c r="F16">
        <v>121</v>
      </c>
      <c r="G16">
        <v>116.1</v>
      </c>
      <c r="H16">
        <v>106.9</v>
      </c>
      <c r="I16">
        <v>118.7</v>
      </c>
      <c r="J16">
        <v>116.3</v>
      </c>
      <c r="K16">
        <v>109.8</v>
      </c>
      <c r="L16">
        <v>119.3</v>
      </c>
      <c r="M16">
        <v>116.1</v>
      </c>
      <c r="N16" s="19">
        <v>6.9384215091066537E-3</v>
      </c>
    </row>
    <row r="17" spans="1:41" x14ac:dyDescent="0.25">
      <c r="A17" t="s">
        <v>33</v>
      </c>
      <c r="B17">
        <v>2014</v>
      </c>
      <c r="C17">
        <v>4</v>
      </c>
      <c r="D17" s="10">
        <v>41730</v>
      </c>
      <c r="E17">
        <v>119.9</v>
      </c>
      <c r="F17">
        <v>116.2</v>
      </c>
      <c r="G17">
        <v>117</v>
      </c>
      <c r="H17">
        <v>107.3</v>
      </c>
      <c r="I17">
        <v>126.1</v>
      </c>
      <c r="J17">
        <v>120.7</v>
      </c>
      <c r="K17">
        <v>111</v>
      </c>
      <c r="L17">
        <v>119.8</v>
      </c>
      <c r="M17">
        <v>117.6</v>
      </c>
      <c r="N17" s="19">
        <v>1.2919896640826874E-2</v>
      </c>
    </row>
    <row r="18" spans="1:41" x14ac:dyDescent="0.25">
      <c r="A18" t="s">
        <v>33</v>
      </c>
      <c r="B18">
        <v>2014</v>
      </c>
      <c r="C18">
        <v>5</v>
      </c>
      <c r="D18" s="10">
        <v>41760</v>
      </c>
      <c r="E18">
        <v>121.6</v>
      </c>
      <c r="F18">
        <v>115.9</v>
      </c>
      <c r="G18">
        <v>118.4</v>
      </c>
      <c r="H18">
        <v>107.7</v>
      </c>
      <c r="I18">
        <v>127.7</v>
      </c>
      <c r="J18">
        <v>125</v>
      </c>
      <c r="K18">
        <v>111.9</v>
      </c>
      <c r="L18">
        <v>120.4</v>
      </c>
      <c r="M18">
        <v>118.9</v>
      </c>
      <c r="N18" s="19">
        <v>1.105442176870758E-2</v>
      </c>
      <c r="U18" t="s">
        <v>40</v>
      </c>
    </row>
    <row r="19" spans="1:41" x14ac:dyDescent="0.25">
      <c r="A19" t="s">
        <v>33</v>
      </c>
      <c r="B19">
        <v>2014</v>
      </c>
      <c r="C19">
        <v>6</v>
      </c>
      <c r="D19" s="10">
        <v>41791</v>
      </c>
      <c r="E19">
        <v>123.1</v>
      </c>
      <c r="F19">
        <v>115.8</v>
      </c>
      <c r="G19">
        <v>119.7</v>
      </c>
      <c r="H19">
        <v>107.8</v>
      </c>
      <c r="I19">
        <v>128.30000000000001</v>
      </c>
      <c r="J19">
        <v>132.1</v>
      </c>
      <c r="K19">
        <v>112.4</v>
      </c>
      <c r="L19">
        <v>121.2</v>
      </c>
      <c r="M19">
        <v>120.4</v>
      </c>
      <c r="N19" s="19">
        <v>1.2615643397813289E-2</v>
      </c>
    </row>
    <row r="20" spans="1:41" x14ac:dyDescent="0.25">
      <c r="A20" t="s">
        <v>33</v>
      </c>
      <c r="B20">
        <v>2014</v>
      </c>
      <c r="C20">
        <v>7</v>
      </c>
      <c r="D20" s="10">
        <v>41821</v>
      </c>
      <c r="E20">
        <v>123.9</v>
      </c>
      <c r="F20">
        <v>117.8</v>
      </c>
      <c r="G20">
        <v>121</v>
      </c>
      <c r="H20">
        <v>107.9</v>
      </c>
      <c r="I20">
        <v>131.19999999999999</v>
      </c>
      <c r="J20">
        <v>157.69999999999999</v>
      </c>
      <c r="K20">
        <v>113.2</v>
      </c>
      <c r="L20">
        <v>122.1</v>
      </c>
      <c r="M20">
        <v>124.7</v>
      </c>
      <c r="N20" s="19">
        <v>3.5714285714285691E-2</v>
      </c>
    </row>
    <row r="21" spans="1:41" x14ac:dyDescent="0.25">
      <c r="A21" t="s">
        <v>33</v>
      </c>
      <c r="B21">
        <v>2014</v>
      </c>
      <c r="C21">
        <v>8</v>
      </c>
      <c r="D21" s="10">
        <v>41852</v>
      </c>
      <c r="E21">
        <v>124.4</v>
      </c>
      <c r="F21">
        <v>117.3</v>
      </c>
      <c r="G21">
        <v>122</v>
      </c>
      <c r="H21">
        <v>108</v>
      </c>
      <c r="I21">
        <v>131.1</v>
      </c>
      <c r="J21">
        <v>168.2</v>
      </c>
      <c r="K21">
        <v>114.5</v>
      </c>
      <c r="L21">
        <v>123.1</v>
      </c>
      <c r="M21">
        <v>126.6</v>
      </c>
      <c r="N21" s="19">
        <v>1.5236567762630245E-2</v>
      </c>
    </row>
    <row r="22" spans="1:41" x14ac:dyDescent="0.25">
      <c r="A22" t="s">
        <v>33</v>
      </c>
      <c r="B22">
        <v>2014</v>
      </c>
      <c r="C22">
        <v>9</v>
      </c>
      <c r="D22" s="10">
        <v>41883</v>
      </c>
      <c r="E22">
        <v>123.5</v>
      </c>
      <c r="F22">
        <v>117.3</v>
      </c>
      <c r="G22">
        <v>122.7</v>
      </c>
      <c r="H22">
        <v>107.9</v>
      </c>
      <c r="I22">
        <v>127.3</v>
      </c>
      <c r="J22">
        <v>162.1</v>
      </c>
      <c r="K22">
        <v>115.6</v>
      </c>
      <c r="L22">
        <v>123.8</v>
      </c>
      <c r="M22">
        <v>125.8</v>
      </c>
      <c r="N22" s="19">
        <v>-6.3191153238546386E-3</v>
      </c>
    </row>
    <row r="23" spans="1:41" x14ac:dyDescent="0.25">
      <c r="A23" t="s">
        <v>33</v>
      </c>
      <c r="B23">
        <v>2014</v>
      </c>
      <c r="C23">
        <v>10</v>
      </c>
      <c r="D23" s="10">
        <v>41913</v>
      </c>
      <c r="E23">
        <v>123.8</v>
      </c>
      <c r="F23">
        <v>118.1</v>
      </c>
      <c r="G23">
        <v>123.2</v>
      </c>
      <c r="H23">
        <v>107.9</v>
      </c>
      <c r="I23">
        <v>126.4</v>
      </c>
      <c r="J23">
        <v>156.80000000000001</v>
      </c>
      <c r="K23">
        <v>116.1</v>
      </c>
      <c r="L23">
        <v>124.5</v>
      </c>
      <c r="M23">
        <v>125.4</v>
      </c>
      <c r="N23" s="19">
        <v>-3.1796502384737E-3</v>
      </c>
      <c r="AO23" t="s">
        <v>46</v>
      </c>
    </row>
    <row r="24" spans="1:41" x14ac:dyDescent="0.25">
      <c r="A24" t="s">
        <v>33</v>
      </c>
      <c r="B24">
        <v>2014</v>
      </c>
      <c r="C24">
        <v>11</v>
      </c>
      <c r="D24" s="10">
        <v>41944</v>
      </c>
      <c r="E24">
        <v>123.7</v>
      </c>
      <c r="F24">
        <v>121</v>
      </c>
      <c r="G24">
        <v>124.2</v>
      </c>
      <c r="H24">
        <v>107.8</v>
      </c>
      <c r="I24">
        <v>125.7</v>
      </c>
      <c r="J24">
        <v>152.4</v>
      </c>
      <c r="K24">
        <v>117.2</v>
      </c>
      <c r="L24">
        <v>125.6</v>
      </c>
      <c r="M24">
        <v>125.1</v>
      </c>
      <c r="N24" s="19">
        <v>-2.392344497607746E-3</v>
      </c>
    </row>
    <row r="25" spans="1:41" x14ac:dyDescent="0.25">
      <c r="A25" t="s">
        <v>33</v>
      </c>
      <c r="B25">
        <v>2014</v>
      </c>
      <c r="C25">
        <v>12</v>
      </c>
      <c r="D25" s="10">
        <v>41974</v>
      </c>
      <c r="E25">
        <v>123.2</v>
      </c>
      <c r="F25">
        <v>123.5</v>
      </c>
      <c r="G25">
        <v>124.5</v>
      </c>
      <c r="H25">
        <v>107.6</v>
      </c>
      <c r="I25">
        <v>125.7</v>
      </c>
      <c r="J25">
        <v>140.5</v>
      </c>
      <c r="K25">
        <v>117.6</v>
      </c>
      <c r="L25">
        <v>126.1</v>
      </c>
      <c r="M25">
        <v>123.6</v>
      </c>
      <c r="N25" s="19">
        <v>-1.1990407673860911E-2</v>
      </c>
    </row>
    <row r="26" spans="1:41" x14ac:dyDescent="0.25">
      <c r="A26" t="s">
        <v>33</v>
      </c>
      <c r="B26">
        <v>2015</v>
      </c>
      <c r="C26">
        <v>1</v>
      </c>
      <c r="D26" s="10">
        <v>42005</v>
      </c>
      <c r="E26">
        <v>123.9</v>
      </c>
      <c r="F26">
        <v>123.8</v>
      </c>
      <c r="G26">
        <v>125</v>
      </c>
      <c r="H26">
        <v>108.5</v>
      </c>
      <c r="I26">
        <v>126.2</v>
      </c>
      <c r="J26">
        <v>133</v>
      </c>
      <c r="K26">
        <v>119.1</v>
      </c>
      <c r="L26">
        <v>126.7</v>
      </c>
      <c r="M26">
        <v>123.1</v>
      </c>
      <c r="N26" s="19">
        <v>-4.0453074433656963E-3</v>
      </c>
    </row>
    <row r="27" spans="1:41" x14ac:dyDescent="0.25">
      <c r="A27" t="s">
        <v>33</v>
      </c>
      <c r="B27">
        <v>2015</v>
      </c>
      <c r="C27">
        <v>2</v>
      </c>
      <c r="D27" s="10">
        <v>42036</v>
      </c>
      <c r="E27">
        <v>125.1</v>
      </c>
      <c r="F27">
        <v>121.1</v>
      </c>
      <c r="G27">
        <v>125.7</v>
      </c>
      <c r="H27">
        <v>109.1</v>
      </c>
      <c r="I27">
        <v>125.8</v>
      </c>
      <c r="J27">
        <v>129.4</v>
      </c>
      <c r="K27">
        <v>120.9</v>
      </c>
      <c r="L27">
        <v>127.6</v>
      </c>
      <c r="M27">
        <v>123.1</v>
      </c>
      <c r="N27" s="19">
        <v>0</v>
      </c>
      <c r="AI27" s="14">
        <v>2E-3</v>
      </c>
    </row>
    <row r="28" spans="1:41" x14ac:dyDescent="0.25">
      <c r="A28" t="s">
        <v>33</v>
      </c>
      <c r="B28">
        <v>2015</v>
      </c>
      <c r="C28">
        <v>3</v>
      </c>
      <c r="D28" s="10">
        <v>42064</v>
      </c>
      <c r="E28">
        <v>125.4</v>
      </c>
      <c r="F28">
        <v>116.8</v>
      </c>
      <c r="G28">
        <v>126</v>
      </c>
      <c r="H28">
        <v>109.2</v>
      </c>
      <c r="I28">
        <v>127.6</v>
      </c>
      <c r="J28">
        <v>129.19999999999999</v>
      </c>
      <c r="K28">
        <v>122.4</v>
      </c>
      <c r="L28">
        <v>128.4</v>
      </c>
      <c r="M28">
        <v>123.4</v>
      </c>
      <c r="N28" s="19">
        <v>2.4370430544273874E-3</v>
      </c>
    </row>
    <row r="29" spans="1:41" x14ac:dyDescent="0.25">
      <c r="A29" t="s">
        <v>33</v>
      </c>
      <c r="B29">
        <v>2015</v>
      </c>
      <c r="C29">
        <v>4</v>
      </c>
      <c r="D29" s="10">
        <v>42095</v>
      </c>
      <c r="E29">
        <v>126.4</v>
      </c>
      <c r="F29">
        <v>114.4</v>
      </c>
      <c r="G29">
        <v>126.6</v>
      </c>
      <c r="H29">
        <v>109.2</v>
      </c>
      <c r="I29">
        <v>132.5</v>
      </c>
      <c r="J29">
        <v>128.6</v>
      </c>
      <c r="K29">
        <v>124.8</v>
      </c>
      <c r="L29">
        <v>129.1</v>
      </c>
      <c r="M29">
        <v>124</v>
      </c>
      <c r="N29" s="19">
        <v>4.8622366288492242E-3</v>
      </c>
    </row>
    <row r="30" spans="1:41" x14ac:dyDescent="0.25">
      <c r="A30" t="s">
        <v>33</v>
      </c>
      <c r="B30">
        <v>2015</v>
      </c>
      <c r="C30">
        <v>5</v>
      </c>
      <c r="D30" s="10">
        <v>42125</v>
      </c>
      <c r="E30">
        <v>128</v>
      </c>
      <c r="F30">
        <v>115</v>
      </c>
      <c r="G30">
        <v>127.3</v>
      </c>
      <c r="H30">
        <v>109.8</v>
      </c>
      <c r="I30">
        <v>132.6</v>
      </c>
      <c r="J30">
        <v>130.9</v>
      </c>
      <c r="K30">
        <v>130.5</v>
      </c>
      <c r="L30">
        <v>129.80000000000001</v>
      </c>
      <c r="M30">
        <v>125</v>
      </c>
      <c r="N30" s="19">
        <v>8.0645161290322578E-3</v>
      </c>
    </row>
    <row r="31" spans="1:41" x14ac:dyDescent="0.25">
      <c r="A31" t="s">
        <v>33</v>
      </c>
      <c r="B31">
        <v>2015</v>
      </c>
      <c r="C31">
        <v>6</v>
      </c>
      <c r="D31" s="10">
        <v>42156</v>
      </c>
      <c r="E31">
        <v>131.80000000000001</v>
      </c>
      <c r="F31">
        <v>121.6</v>
      </c>
      <c r="G31">
        <v>128.19999999999999</v>
      </c>
      <c r="H31">
        <v>111.1</v>
      </c>
      <c r="I31">
        <v>132.80000000000001</v>
      </c>
      <c r="J31">
        <v>139.1</v>
      </c>
      <c r="K31">
        <v>137.4</v>
      </c>
      <c r="L31">
        <v>130.9</v>
      </c>
      <c r="M31">
        <v>127.3</v>
      </c>
      <c r="N31" s="19">
        <v>1.8399999999999979E-2</v>
      </c>
    </row>
    <row r="32" spans="1:41" x14ac:dyDescent="0.25">
      <c r="A32" t="s">
        <v>33</v>
      </c>
      <c r="B32">
        <v>2015</v>
      </c>
      <c r="C32">
        <v>7</v>
      </c>
      <c r="D32" s="10">
        <v>42186</v>
      </c>
      <c r="E32">
        <v>132.5</v>
      </c>
      <c r="F32">
        <v>121</v>
      </c>
      <c r="G32">
        <v>128.30000000000001</v>
      </c>
      <c r="H32">
        <v>110.9</v>
      </c>
      <c r="I32">
        <v>133.1</v>
      </c>
      <c r="J32">
        <v>145.1</v>
      </c>
      <c r="K32">
        <v>139.1</v>
      </c>
      <c r="L32">
        <v>131.4</v>
      </c>
      <c r="M32">
        <v>128.19999999999999</v>
      </c>
      <c r="N32" s="19">
        <v>7.069913589944945E-3</v>
      </c>
    </row>
    <row r="33" spans="1:32" x14ac:dyDescent="0.25">
      <c r="A33" t="s">
        <v>33</v>
      </c>
      <c r="B33">
        <v>2015</v>
      </c>
      <c r="C33">
        <v>8</v>
      </c>
      <c r="D33" s="10">
        <v>42217</v>
      </c>
      <c r="E33">
        <v>131.4</v>
      </c>
      <c r="F33">
        <v>120.1</v>
      </c>
      <c r="G33">
        <v>128.5</v>
      </c>
      <c r="H33">
        <v>111.4</v>
      </c>
      <c r="I33">
        <v>132.30000000000001</v>
      </c>
      <c r="J33">
        <v>157.6</v>
      </c>
      <c r="K33">
        <v>144</v>
      </c>
      <c r="L33">
        <v>132.1</v>
      </c>
      <c r="M33">
        <v>130.30000000000001</v>
      </c>
      <c r="N33" s="19">
        <v>1.6380655226209226E-2</v>
      </c>
    </row>
    <row r="34" spans="1:32" x14ac:dyDescent="0.25">
      <c r="A34" t="s">
        <v>33</v>
      </c>
      <c r="B34">
        <v>2015</v>
      </c>
      <c r="C34">
        <v>9</v>
      </c>
      <c r="D34" s="10">
        <v>42248</v>
      </c>
      <c r="E34">
        <v>130.4</v>
      </c>
      <c r="F34">
        <v>118.7</v>
      </c>
      <c r="G34">
        <v>128.9</v>
      </c>
      <c r="H34">
        <v>111.9</v>
      </c>
      <c r="I34">
        <v>128.4</v>
      </c>
      <c r="J34">
        <v>162.19999999999999</v>
      </c>
      <c r="K34">
        <v>150</v>
      </c>
      <c r="L34">
        <v>132.5</v>
      </c>
      <c r="M34">
        <v>131.19999999999999</v>
      </c>
      <c r="N34" s="19">
        <v>6.907137375287622E-3</v>
      </c>
    </row>
    <row r="35" spans="1:32" x14ac:dyDescent="0.25">
      <c r="A35" t="s">
        <v>33</v>
      </c>
      <c r="B35">
        <v>2015</v>
      </c>
      <c r="C35">
        <v>10</v>
      </c>
      <c r="D35" s="10">
        <v>42278</v>
      </c>
      <c r="E35">
        <v>129.80000000000001</v>
      </c>
      <c r="F35">
        <v>118.9</v>
      </c>
      <c r="G35">
        <v>129.1</v>
      </c>
      <c r="H35">
        <v>113.3</v>
      </c>
      <c r="I35">
        <v>129</v>
      </c>
      <c r="J35">
        <v>160.4</v>
      </c>
      <c r="K35">
        <v>165.3</v>
      </c>
      <c r="L35">
        <v>133</v>
      </c>
      <c r="M35">
        <v>132.1</v>
      </c>
      <c r="N35" s="19">
        <v>6.8597560975610199E-3</v>
      </c>
    </row>
    <row r="36" spans="1:32" x14ac:dyDescent="0.25">
      <c r="A36" t="s">
        <v>33</v>
      </c>
      <c r="B36">
        <v>2015</v>
      </c>
      <c r="C36">
        <v>11</v>
      </c>
      <c r="D36" s="10">
        <v>42309</v>
      </c>
      <c r="E36">
        <v>130.30000000000001</v>
      </c>
      <c r="F36">
        <v>121.6</v>
      </c>
      <c r="G36">
        <v>129.19999999999999</v>
      </c>
      <c r="H36">
        <v>114.9</v>
      </c>
      <c r="I36">
        <v>128.19999999999999</v>
      </c>
      <c r="J36">
        <v>158.4</v>
      </c>
      <c r="K36">
        <v>171.2</v>
      </c>
      <c r="L36">
        <v>134</v>
      </c>
      <c r="M36">
        <v>132.69999999999999</v>
      </c>
      <c r="N36" s="19">
        <v>4.5420136260408356E-3</v>
      </c>
    </row>
    <row r="37" spans="1:32" x14ac:dyDescent="0.25">
      <c r="A37" t="s">
        <v>33</v>
      </c>
      <c r="B37">
        <v>2015</v>
      </c>
      <c r="C37">
        <v>12</v>
      </c>
      <c r="D37" s="10">
        <v>42339</v>
      </c>
      <c r="E37">
        <v>131.4</v>
      </c>
      <c r="F37">
        <v>124.8</v>
      </c>
      <c r="G37">
        <v>129.4</v>
      </c>
      <c r="H37">
        <v>115.3</v>
      </c>
      <c r="I37">
        <v>126.6</v>
      </c>
      <c r="J37">
        <v>146.69999999999999</v>
      </c>
      <c r="K37">
        <v>171.5</v>
      </c>
      <c r="L37">
        <v>134.69999999999999</v>
      </c>
      <c r="M37">
        <v>131.4</v>
      </c>
      <c r="N37" s="19">
        <v>-9.7965335342877404E-3</v>
      </c>
    </row>
    <row r="38" spans="1:32" x14ac:dyDescent="0.25">
      <c r="A38" t="s">
        <v>33</v>
      </c>
      <c r="B38">
        <v>2016</v>
      </c>
      <c r="C38">
        <v>1</v>
      </c>
      <c r="D38" s="10">
        <v>42370</v>
      </c>
      <c r="E38">
        <v>134.1</v>
      </c>
      <c r="F38">
        <v>128.6</v>
      </c>
      <c r="G38">
        <v>129.9</v>
      </c>
      <c r="H38">
        <v>115.5</v>
      </c>
      <c r="I38">
        <v>125.7</v>
      </c>
      <c r="J38">
        <v>141.5</v>
      </c>
      <c r="K38">
        <v>170.7</v>
      </c>
      <c r="L38">
        <v>135.30000000000001</v>
      </c>
      <c r="M38">
        <v>131.30000000000001</v>
      </c>
      <c r="N38" s="19">
        <v>-7.6103500761030677E-4</v>
      </c>
      <c r="AF38" t="s">
        <v>44</v>
      </c>
    </row>
    <row r="39" spans="1:32" x14ac:dyDescent="0.25">
      <c r="A39" t="s">
        <v>33</v>
      </c>
      <c r="B39">
        <v>2016</v>
      </c>
      <c r="C39">
        <v>2</v>
      </c>
      <c r="D39" s="10">
        <v>42401</v>
      </c>
      <c r="E39">
        <v>134.19999999999999</v>
      </c>
      <c r="F39">
        <v>128.69999999999999</v>
      </c>
      <c r="G39">
        <v>130.30000000000001</v>
      </c>
      <c r="H39">
        <v>114.8</v>
      </c>
      <c r="I39">
        <v>124.9</v>
      </c>
      <c r="J39">
        <v>130.30000000000001</v>
      </c>
      <c r="K39">
        <v>167.4</v>
      </c>
      <c r="L39">
        <v>135.80000000000001</v>
      </c>
      <c r="M39">
        <v>129.9</v>
      </c>
      <c r="N39" s="19">
        <v>-1.0662604722010706E-2</v>
      </c>
      <c r="Z39" s="10">
        <v>41760</v>
      </c>
      <c r="AA39" t="s">
        <v>42</v>
      </c>
      <c r="AB39" s="10"/>
    </row>
    <row r="40" spans="1:32" x14ac:dyDescent="0.25">
      <c r="A40" t="s">
        <v>33</v>
      </c>
      <c r="B40">
        <v>2016</v>
      </c>
      <c r="C40">
        <v>3</v>
      </c>
      <c r="D40" s="10">
        <v>42430</v>
      </c>
      <c r="E40">
        <v>135.1</v>
      </c>
      <c r="F40">
        <v>124.6</v>
      </c>
      <c r="G40">
        <v>130.19999999999999</v>
      </c>
      <c r="H40">
        <v>114.5</v>
      </c>
      <c r="I40">
        <v>126.2</v>
      </c>
      <c r="J40">
        <v>129.80000000000001</v>
      </c>
      <c r="K40">
        <v>164.3</v>
      </c>
      <c r="L40">
        <v>136.30000000000001</v>
      </c>
      <c r="M40">
        <v>129.80000000000001</v>
      </c>
      <c r="N40" s="19">
        <v>-7.6982294072358982E-4</v>
      </c>
      <c r="Z40" s="10">
        <v>41548</v>
      </c>
      <c r="AA40" t="s">
        <v>43</v>
      </c>
    </row>
    <row r="41" spans="1:32" x14ac:dyDescent="0.25">
      <c r="A41" t="s">
        <v>33</v>
      </c>
      <c r="B41">
        <v>2016</v>
      </c>
      <c r="C41">
        <v>4</v>
      </c>
      <c r="D41" s="10">
        <v>42461</v>
      </c>
      <c r="E41">
        <v>136.80000000000001</v>
      </c>
      <c r="F41">
        <v>122</v>
      </c>
      <c r="G41">
        <v>130.9</v>
      </c>
      <c r="H41">
        <v>114.8</v>
      </c>
      <c r="I41">
        <v>134.80000000000001</v>
      </c>
      <c r="J41">
        <v>135</v>
      </c>
      <c r="K41">
        <v>167.5</v>
      </c>
      <c r="L41">
        <v>136.69999999999999</v>
      </c>
      <c r="M41">
        <v>131.80000000000001</v>
      </c>
      <c r="N41" s="19">
        <v>1.5408320493066254E-2</v>
      </c>
    </row>
    <row r="42" spans="1:32" x14ac:dyDescent="0.25">
      <c r="A42" t="s">
        <v>33</v>
      </c>
      <c r="B42">
        <v>2016</v>
      </c>
      <c r="C42">
        <v>5</v>
      </c>
      <c r="D42" s="10">
        <v>42491</v>
      </c>
      <c r="E42">
        <v>139.1</v>
      </c>
      <c r="F42">
        <v>125.4</v>
      </c>
      <c r="G42">
        <v>131.69999999999999</v>
      </c>
      <c r="H42">
        <v>115</v>
      </c>
      <c r="I42">
        <v>136</v>
      </c>
      <c r="J42">
        <v>145.1</v>
      </c>
      <c r="K42">
        <v>171.7</v>
      </c>
      <c r="L42">
        <v>137.4</v>
      </c>
      <c r="M42">
        <v>134</v>
      </c>
      <c r="N42" s="19">
        <v>1.6691957511380792E-2</v>
      </c>
      <c r="Y42" t="s">
        <v>45</v>
      </c>
      <c r="Z42">
        <v>1.2007338971557167E-2</v>
      </c>
    </row>
    <row r="43" spans="1:32" x14ac:dyDescent="0.25">
      <c r="A43" t="s">
        <v>33</v>
      </c>
      <c r="B43">
        <v>2016</v>
      </c>
      <c r="C43">
        <v>6</v>
      </c>
      <c r="D43" s="10">
        <v>42522</v>
      </c>
      <c r="E43">
        <v>140.5</v>
      </c>
      <c r="F43">
        <v>128.30000000000001</v>
      </c>
      <c r="G43">
        <v>132.6</v>
      </c>
      <c r="H43">
        <v>115.5</v>
      </c>
      <c r="I43">
        <v>136.5</v>
      </c>
      <c r="J43">
        <v>159.69999999999999</v>
      </c>
      <c r="K43">
        <v>174.3</v>
      </c>
      <c r="L43">
        <v>138.1</v>
      </c>
      <c r="M43">
        <v>136.80000000000001</v>
      </c>
      <c r="N43" s="19">
        <v>2.0895522388059785E-2</v>
      </c>
    </row>
    <row r="44" spans="1:32" x14ac:dyDescent="0.25">
      <c r="A44" t="s">
        <v>33</v>
      </c>
      <c r="B44">
        <v>2016</v>
      </c>
      <c r="C44">
        <v>7</v>
      </c>
      <c r="D44" s="10">
        <v>42552</v>
      </c>
      <c r="E44">
        <v>141.19999999999999</v>
      </c>
      <c r="F44">
        <v>132.30000000000001</v>
      </c>
      <c r="G44">
        <v>133.5</v>
      </c>
      <c r="H44">
        <v>116.4</v>
      </c>
      <c r="I44">
        <v>137.80000000000001</v>
      </c>
      <c r="J44">
        <v>165.4</v>
      </c>
      <c r="K44">
        <v>177.4</v>
      </c>
      <c r="L44">
        <v>138.80000000000001</v>
      </c>
      <c r="M44">
        <v>138.4</v>
      </c>
      <c r="N44" s="19">
        <v>1.1695906432748496E-2</v>
      </c>
    </row>
    <row r="45" spans="1:32" x14ac:dyDescent="0.25">
      <c r="A45" t="s">
        <v>33</v>
      </c>
      <c r="B45">
        <v>2016</v>
      </c>
      <c r="C45">
        <v>8</v>
      </c>
      <c r="D45" s="10">
        <v>42583</v>
      </c>
      <c r="E45">
        <v>139.30000000000001</v>
      </c>
      <c r="F45">
        <v>131.6</v>
      </c>
      <c r="G45">
        <v>134.1</v>
      </c>
      <c r="H45">
        <v>116.9</v>
      </c>
      <c r="I45">
        <v>138.1</v>
      </c>
      <c r="J45">
        <v>159.1</v>
      </c>
      <c r="K45">
        <v>175.6</v>
      </c>
      <c r="L45">
        <v>139.5</v>
      </c>
      <c r="M45">
        <v>137.9</v>
      </c>
      <c r="N45" s="19">
        <v>-3.6127167630057803E-3</v>
      </c>
    </row>
    <row r="46" spans="1:32" x14ac:dyDescent="0.25">
      <c r="A46" t="s">
        <v>33</v>
      </c>
      <c r="B46">
        <v>2016</v>
      </c>
      <c r="C46">
        <v>9</v>
      </c>
      <c r="D46" s="10">
        <v>42614</v>
      </c>
      <c r="E46">
        <v>138</v>
      </c>
      <c r="F46">
        <v>130.5</v>
      </c>
      <c r="G46">
        <v>134.4</v>
      </c>
      <c r="H46">
        <v>117.2</v>
      </c>
      <c r="I46">
        <v>136.1</v>
      </c>
      <c r="J46">
        <v>150.69999999999999</v>
      </c>
      <c r="K46">
        <v>171.5</v>
      </c>
      <c r="L46">
        <v>140.19999999999999</v>
      </c>
      <c r="M46">
        <v>136.6</v>
      </c>
      <c r="N46" s="19">
        <v>-9.4271211022480886E-3</v>
      </c>
    </row>
    <row r="47" spans="1:32" x14ac:dyDescent="0.25">
      <c r="A47" t="s">
        <v>33</v>
      </c>
      <c r="B47">
        <v>2016</v>
      </c>
      <c r="C47">
        <v>10</v>
      </c>
      <c r="D47" s="10">
        <v>42644</v>
      </c>
      <c r="E47">
        <v>137.9</v>
      </c>
      <c r="F47">
        <v>130.19999999999999</v>
      </c>
      <c r="G47">
        <v>134.80000000000001</v>
      </c>
      <c r="H47">
        <v>117.8</v>
      </c>
      <c r="I47">
        <v>134.69999999999999</v>
      </c>
      <c r="J47">
        <v>151.19999999999999</v>
      </c>
      <c r="K47">
        <v>172.1</v>
      </c>
      <c r="L47">
        <v>141.1</v>
      </c>
      <c r="M47">
        <v>137</v>
      </c>
      <c r="N47" s="19">
        <v>2.9282576866764692E-3</v>
      </c>
    </row>
    <row r="48" spans="1:32" x14ac:dyDescent="0.25">
      <c r="A48" t="s">
        <v>33</v>
      </c>
      <c r="B48">
        <v>2016</v>
      </c>
      <c r="C48">
        <v>11</v>
      </c>
      <c r="D48" s="10">
        <v>42675</v>
      </c>
      <c r="E48">
        <v>137.80000000000001</v>
      </c>
      <c r="F48">
        <v>132</v>
      </c>
      <c r="G48">
        <v>135</v>
      </c>
      <c r="H48">
        <v>118</v>
      </c>
      <c r="I48">
        <v>134.1</v>
      </c>
      <c r="J48">
        <v>141.9</v>
      </c>
      <c r="K48">
        <v>171.7</v>
      </c>
      <c r="L48">
        <v>141.80000000000001</v>
      </c>
      <c r="M48">
        <v>136.1</v>
      </c>
      <c r="N48" s="19">
        <v>-6.5693430656934724E-3</v>
      </c>
    </row>
    <row r="49" spans="1:14" x14ac:dyDescent="0.25">
      <c r="A49" t="s">
        <v>33</v>
      </c>
      <c r="B49">
        <v>2016</v>
      </c>
      <c r="C49">
        <v>12</v>
      </c>
      <c r="D49" s="10">
        <v>42705</v>
      </c>
      <c r="E49">
        <v>137.6</v>
      </c>
      <c r="F49">
        <v>132.9</v>
      </c>
      <c r="G49">
        <v>135.1</v>
      </c>
      <c r="H49">
        <v>118.6</v>
      </c>
      <c r="I49">
        <v>132.69999999999999</v>
      </c>
      <c r="J49">
        <v>125.3</v>
      </c>
      <c r="K49">
        <v>168.7</v>
      </c>
      <c r="L49">
        <v>142.30000000000001</v>
      </c>
      <c r="M49">
        <v>134</v>
      </c>
      <c r="N49" s="19">
        <v>-1.5429831006612743E-2</v>
      </c>
    </row>
    <row r="50" spans="1:14" x14ac:dyDescent="0.25">
      <c r="A50" t="s">
        <v>33</v>
      </c>
      <c r="B50">
        <v>2017</v>
      </c>
      <c r="C50">
        <v>1</v>
      </c>
      <c r="D50" s="10">
        <v>42736</v>
      </c>
      <c r="E50">
        <v>138.19999999999999</v>
      </c>
      <c r="F50">
        <v>132.19999999999999</v>
      </c>
      <c r="G50">
        <v>135.4</v>
      </c>
      <c r="H50">
        <v>119.1</v>
      </c>
      <c r="I50">
        <v>133</v>
      </c>
      <c r="J50">
        <v>119.4</v>
      </c>
      <c r="K50">
        <v>159.5</v>
      </c>
      <c r="L50">
        <v>142.80000000000001</v>
      </c>
      <c r="M50">
        <v>133.1</v>
      </c>
      <c r="N50" s="19">
        <v>-6.7164179104478037E-3</v>
      </c>
    </row>
    <row r="51" spans="1:14" x14ac:dyDescent="0.25">
      <c r="A51" t="s">
        <v>33</v>
      </c>
      <c r="B51">
        <v>2017</v>
      </c>
      <c r="C51">
        <v>2</v>
      </c>
      <c r="D51" s="10">
        <v>42767</v>
      </c>
      <c r="E51">
        <v>138.80000000000001</v>
      </c>
      <c r="F51">
        <v>129.30000000000001</v>
      </c>
      <c r="G51">
        <v>135.80000000000001</v>
      </c>
      <c r="H51">
        <v>119.2</v>
      </c>
      <c r="I51">
        <v>135.30000000000001</v>
      </c>
      <c r="J51">
        <v>119.5</v>
      </c>
      <c r="K51">
        <v>152.19999999999999</v>
      </c>
      <c r="L51">
        <v>143.19999999999999</v>
      </c>
      <c r="M51">
        <v>133</v>
      </c>
      <c r="N51" s="19">
        <v>-7.5131480090153508E-4</v>
      </c>
    </row>
    <row r="52" spans="1:14" x14ac:dyDescent="0.25">
      <c r="A52" t="s">
        <v>33</v>
      </c>
      <c r="B52">
        <v>2017</v>
      </c>
      <c r="C52">
        <v>3</v>
      </c>
      <c r="D52" s="10">
        <v>42795</v>
      </c>
      <c r="E52">
        <v>139</v>
      </c>
      <c r="F52">
        <v>128.6</v>
      </c>
      <c r="G52">
        <v>136.30000000000001</v>
      </c>
      <c r="H52">
        <v>118.8</v>
      </c>
      <c r="I52">
        <v>138.30000000000001</v>
      </c>
      <c r="J52">
        <v>120.5</v>
      </c>
      <c r="K52">
        <v>143.9</v>
      </c>
      <c r="L52">
        <v>144</v>
      </c>
      <c r="M52">
        <v>133.1</v>
      </c>
      <c r="N52" s="19">
        <v>7.5187969924807752E-4</v>
      </c>
    </row>
    <row r="53" spans="1:14" x14ac:dyDescent="0.25">
      <c r="A53" t="s">
        <v>33</v>
      </c>
      <c r="B53">
        <v>2017</v>
      </c>
      <c r="C53">
        <v>4</v>
      </c>
      <c r="D53" s="10">
        <v>42826</v>
      </c>
      <c r="E53">
        <v>139.4</v>
      </c>
      <c r="F53">
        <v>126.1</v>
      </c>
      <c r="G53">
        <v>137.19999999999999</v>
      </c>
      <c r="H53">
        <v>118.4</v>
      </c>
      <c r="I53">
        <v>139.9</v>
      </c>
      <c r="J53">
        <v>123.4</v>
      </c>
      <c r="K53">
        <v>140.9</v>
      </c>
      <c r="L53">
        <v>144.19999999999999</v>
      </c>
      <c r="M53">
        <v>133.5</v>
      </c>
      <c r="N53" s="19">
        <v>3.0052592036063537E-3</v>
      </c>
    </row>
    <row r="54" spans="1:14" x14ac:dyDescent="0.25">
      <c r="A54" t="s">
        <v>33</v>
      </c>
      <c r="B54">
        <v>2017</v>
      </c>
      <c r="C54">
        <v>5</v>
      </c>
      <c r="D54" s="10">
        <v>42856</v>
      </c>
      <c r="E54">
        <v>141.6</v>
      </c>
      <c r="F54">
        <v>126.3</v>
      </c>
      <c r="G54">
        <v>137.69999999999999</v>
      </c>
      <c r="H54">
        <v>118.1</v>
      </c>
      <c r="I54">
        <v>137.9</v>
      </c>
      <c r="J54">
        <v>125.6</v>
      </c>
      <c r="K54">
        <v>138.30000000000001</v>
      </c>
      <c r="L54">
        <v>144.5</v>
      </c>
      <c r="M54">
        <v>133.69999999999999</v>
      </c>
      <c r="N54" s="19">
        <v>1.4981273408238849E-3</v>
      </c>
    </row>
    <row r="55" spans="1:14" x14ac:dyDescent="0.25">
      <c r="A55" t="s">
        <v>33</v>
      </c>
      <c r="B55">
        <v>2017</v>
      </c>
      <c r="C55">
        <v>6</v>
      </c>
      <c r="D55" s="10">
        <v>42887</v>
      </c>
      <c r="E55">
        <v>145.5</v>
      </c>
      <c r="F55">
        <v>128.1</v>
      </c>
      <c r="G55">
        <v>138.1</v>
      </c>
      <c r="H55">
        <v>118.2</v>
      </c>
      <c r="I55">
        <v>139.19999999999999</v>
      </c>
      <c r="J55">
        <v>133.30000000000001</v>
      </c>
      <c r="K55">
        <v>136.19999999999999</v>
      </c>
      <c r="L55">
        <v>144.9</v>
      </c>
      <c r="M55">
        <v>135.19999999999999</v>
      </c>
      <c r="N55" s="19">
        <v>1.1219147344801795E-2</v>
      </c>
    </row>
    <row r="56" spans="1:14" x14ac:dyDescent="0.25">
      <c r="A56" t="s">
        <v>33</v>
      </c>
      <c r="B56">
        <v>2017</v>
      </c>
      <c r="C56">
        <v>7</v>
      </c>
      <c r="D56" s="10">
        <v>42917</v>
      </c>
      <c r="E56">
        <v>145.69999999999999</v>
      </c>
      <c r="F56">
        <v>129.6</v>
      </c>
      <c r="G56">
        <v>138.5</v>
      </c>
      <c r="H56">
        <v>118.1</v>
      </c>
      <c r="I56">
        <v>141.80000000000001</v>
      </c>
      <c r="J56">
        <v>159.5</v>
      </c>
      <c r="K56">
        <v>133.6</v>
      </c>
      <c r="L56">
        <v>145.80000000000001</v>
      </c>
      <c r="M56">
        <v>139</v>
      </c>
      <c r="N56" s="19">
        <v>2.8106508875739733E-2</v>
      </c>
    </row>
    <row r="57" spans="1:14" x14ac:dyDescent="0.25">
      <c r="A57" t="s">
        <v>33</v>
      </c>
      <c r="B57">
        <v>2017</v>
      </c>
      <c r="C57">
        <v>8</v>
      </c>
      <c r="D57" s="10">
        <v>42948</v>
      </c>
      <c r="E57">
        <v>143.4</v>
      </c>
      <c r="F57">
        <v>129.30000000000001</v>
      </c>
      <c r="G57">
        <v>139</v>
      </c>
      <c r="H57">
        <v>118.1</v>
      </c>
      <c r="I57">
        <v>145.5</v>
      </c>
      <c r="J57">
        <v>168.6</v>
      </c>
      <c r="K57">
        <v>132.69999999999999</v>
      </c>
      <c r="L57">
        <v>146.80000000000001</v>
      </c>
      <c r="M57">
        <v>140.6</v>
      </c>
      <c r="N57" s="19">
        <v>1.1510791366906433E-2</v>
      </c>
    </row>
    <row r="58" spans="1:14" x14ac:dyDescent="0.25">
      <c r="A58" t="s">
        <v>33</v>
      </c>
      <c r="B58">
        <v>2017</v>
      </c>
      <c r="C58">
        <v>9</v>
      </c>
      <c r="D58" s="10">
        <v>42979</v>
      </c>
      <c r="E58">
        <v>142.4</v>
      </c>
      <c r="F58">
        <v>130.19999999999999</v>
      </c>
      <c r="G58">
        <v>139.6</v>
      </c>
      <c r="H58">
        <v>118.4</v>
      </c>
      <c r="I58">
        <v>143</v>
      </c>
      <c r="J58">
        <v>156.6</v>
      </c>
      <c r="K58">
        <v>132.9</v>
      </c>
      <c r="L58">
        <v>147.30000000000001</v>
      </c>
      <c r="M58">
        <v>139</v>
      </c>
      <c r="N58" s="19">
        <v>-1.1379800853485025E-2</v>
      </c>
    </row>
    <row r="59" spans="1:14" x14ac:dyDescent="0.25">
      <c r="A59" t="s">
        <v>33</v>
      </c>
      <c r="B59">
        <v>2017</v>
      </c>
      <c r="C59">
        <v>10</v>
      </c>
      <c r="D59" s="10">
        <v>43009</v>
      </c>
      <c r="E59">
        <v>142.19999999999999</v>
      </c>
      <c r="F59">
        <v>131.19999999999999</v>
      </c>
      <c r="G59">
        <v>140.6</v>
      </c>
      <c r="H59">
        <v>119</v>
      </c>
      <c r="I59">
        <v>141.5</v>
      </c>
      <c r="J59">
        <v>162.6</v>
      </c>
      <c r="K59">
        <v>132.30000000000001</v>
      </c>
      <c r="L59">
        <v>148.1</v>
      </c>
      <c r="M59">
        <v>140.1</v>
      </c>
      <c r="N59" s="19">
        <v>7.9136690647481599E-3</v>
      </c>
    </row>
    <row r="60" spans="1:14" x14ac:dyDescent="0.25">
      <c r="A60" t="s">
        <v>33</v>
      </c>
      <c r="B60">
        <v>2017</v>
      </c>
      <c r="C60">
        <v>11</v>
      </c>
      <c r="D60" s="10">
        <v>43040</v>
      </c>
      <c r="E60">
        <v>142.4</v>
      </c>
      <c r="F60">
        <v>142.9</v>
      </c>
      <c r="G60">
        <v>140.80000000000001</v>
      </c>
      <c r="H60">
        <v>119.2</v>
      </c>
      <c r="I60">
        <v>142.19999999999999</v>
      </c>
      <c r="J60">
        <v>173.8</v>
      </c>
      <c r="K60">
        <v>131.19999999999999</v>
      </c>
      <c r="L60">
        <v>148.9</v>
      </c>
      <c r="M60">
        <v>142.1</v>
      </c>
      <c r="N60" s="19">
        <v>1.4275517487508924E-2</v>
      </c>
    </row>
    <row r="61" spans="1:14" x14ac:dyDescent="0.25">
      <c r="A61" t="s">
        <v>33</v>
      </c>
      <c r="B61">
        <v>2017</v>
      </c>
      <c r="C61">
        <v>12</v>
      </c>
      <c r="D61" s="10">
        <v>43070</v>
      </c>
      <c r="E61">
        <v>143.30000000000001</v>
      </c>
      <c r="F61">
        <v>145.19999999999999</v>
      </c>
      <c r="G61">
        <v>141</v>
      </c>
      <c r="H61">
        <v>120.5</v>
      </c>
      <c r="I61">
        <v>141.5</v>
      </c>
      <c r="J61">
        <v>161.69999999999999</v>
      </c>
      <c r="K61">
        <v>129.1</v>
      </c>
      <c r="L61">
        <v>149</v>
      </c>
      <c r="M61">
        <v>140.5</v>
      </c>
      <c r="N61" s="19">
        <v>-1.1259676284306786E-2</v>
      </c>
    </row>
    <row r="62" spans="1:14" x14ac:dyDescent="0.25">
      <c r="A62" t="s">
        <v>33</v>
      </c>
      <c r="B62">
        <v>2018</v>
      </c>
      <c r="C62">
        <v>1</v>
      </c>
      <c r="D62" s="10">
        <v>43101</v>
      </c>
      <c r="E62">
        <v>144.19999999999999</v>
      </c>
      <c r="F62">
        <v>143.69999999999999</v>
      </c>
      <c r="G62">
        <v>141.1</v>
      </c>
      <c r="H62">
        <v>120.7</v>
      </c>
      <c r="I62">
        <v>141.30000000000001</v>
      </c>
      <c r="J62">
        <v>151.6</v>
      </c>
      <c r="K62">
        <v>127.3</v>
      </c>
      <c r="L62">
        <v>149.5</v>
      </c>
      <c r="M62">
        <v>139.19999999999999</v>
      </c>
      <c r="N62" s="19">
        <v>-9.2526690391459884E-3</v>
      </c>
    </row>
    <row r="63" spans="1:14" x14ac:dyDescent="0.25">
      <c r="A63" t="s">
        <v>33</v>
      </c>
      <c r="B63">
        <v>2018</v>
      </c>
      <c r="C63">
        <v>2</v>
      </c>
      <c r="D63" s="10">
        <v>43132</v>
      </c>
      <c r="E63">
        <v>143.5</v>
      </c>
      <c r="F63">
        <v>140.30000000000001</v>
      </c>
      <c r="G63">
        <v>140.9</v>
      </c>
      <c r="H63">
        <v>120.4</v>
      </c>
      <c r="I63">
        <v>142.9</v>
      </c>
      <c r="J63">
        <v>140.5</v>
      </c>
      <c r="K63">
        <v>125.8</v>
      </c>
      <c r="L63">
        <v>149.6</v>
      </c>
      <c r="M63">
        <v>137.6</v>
      </c>
      <c r="N63" s="19">
        <v>-1.1494252873563178E-2</v>
      </c>
    </row>
    <row r="64" spans="1:14" x14ac:dyDescent="0.25">
      <c r="A64" t="s">
        <v>33</v>
      </c>
      <c r="B64">
        <v>2018</v>
      </c>
      <c r="C64">
        <v>3</v>
      </c>
      <c r="D64" s="10">
        <v>43160</v>
      </c>
      <c r="E64">
        <v>143.6</v>
      </c>
      <c r="F64">
        <v>138.30000000000001</v>
      </c>
      <c r="G64">
        <v>141.19999999999999</v>
      </c>
      <c r="H64">
        <v>120.7</v>
      </c>
      <c r="I64">
        <v>146.19999999999999</v>
      </c>
      <c r="J64">
        <v>134.6</v>
      </c>
      <c r="K64">
        <v>124.6</v>
      </c>
      <c r="L64">
        <v>150.4</v>
      </c>
      <c r="M64">
        <v>137.19999999999999</v>
      </c>
      <c r="N64" s="19">
        <v>-2.9069767441860881E-3</v>
      </c>
    </row>
    <row r="65" spans="1:14" x14ac:dyDescent="0.25">
      <c r="A65" t="s">
        <v>33</v>
      </c>
      <c r="B65">
        <v>2018</v>
      </c>
      <c r="C65">
        <v>4</v>
      </c>
      <c r="D65" s="10">
        <v>43191</v>
      </c>
      <c r="E65">
        <v>144.4</v>
      </c>
      <c r="F65">
        <v>133.9</v>
      </c>
      <c r="G65">
        <v>141.6</v>
      </c>
      <c r="H65">
        <v>121</v>
      </c>
      <c r="I65">
        <v>153.5</v>
      </c>
      <c r="J65">
        <v>132.6</v>
      </c>
      <c r="K65">
        <v>123.5</v>
      </c>
      <c r="L65">
        <v>151.19999999999999</v>
      </c>
      <c r="M65">
        <v>137.5</v>
      </c>
      <c r="N65" s="19">
        <v>2.1865889212828817E-3</v>
      </c>
    </row>
    <row r="66" spans="1:14" x14ac:dyDescent="0.25">
      <c r="A66" t="s">
        <v>33</v>
      </c>
      <c r="B66">
        <v>2018</v>
      </c>
      <c r="C66">
        <v>5</v>
      </c>
      <c r="D66" s="10">
        <v>43221</v>
      </c>
      <c r="E66">
        <v>146.6</v>
      </c>
      <c r="F66">
        <v>133.6</v>
      </c>
      <c r="G66">
        <v>142.1</v>
      </c>
      <c r="H66">
        <v>121</v>
      </c>
      <c r="I66">
        <v>154.6</v>
      </c>
      <c r="J66">
        <v>135.6</v>
      </c>
      <c r="K66">
        <v>122.3</v>
      </c>
      <c r="L66">
        <v>151.69999999999999</v>
      </c>
      <c r="M66">
        <v>138.1</v>
      </c>
      <c r="N66" s="19">
        <v>4.3636363636363222E-3</v>
      </c>
    </row>
    <row r="67" spans="1:14" x14ac:dyDescent="0.25">
      <c r="A67" t="s">
        <v>33</v>
      </c>
      <c r="B67">
        <v>2018</v>
      </c>
      <c r="C67">
        <v>6</v>
      </c>
      <c r="D67" s="10">
        <v>43252</v>
      </c>
      <c r="E67">
        <v>148.69999999999999</v>
      </c>
      <c r="F67">
        <v>135.6</v>
      </c>
      <c r="G67">
        <v>142.30000000000001</v>
      </c>
      <c r="H67">
        <v>121.3</v>
      </c>
      <c r="I67">
        <v>153.19999999999999</v>
      </c>
      <c r="J67">
        <v>143.69999999999999</v>
      </c>
      <c r="K67">
        <v>121.4</v>
      </c>
      <c r="L67">
        <v>151.80000000000001</v>
      </c>
      <c r="M67">
        <v>139.4</v>
      </c>
      <c r="N67" s="19">
        <v>9.4134685010862518E-3</v>
      </c>
    </row>
    <row r="68" spans="1:14" x14ac:dyDescent="0.25">
      <c r="A68" t="s">
        <v>33</v>
      </c>
      <c r="B68">
        <v>2018</v>
      </c>
      <c r="C68">
        <v>7</v>
      </c>
      <c r="D68" s="10">
        <v>43282</v>
      </c>
      <c r="E68">
        <v>149.1</v>
      </c>
      <c r="F68">
        <v>139.19999999999999</v>
      </c>
      <c r="G68">
        <v>142.5</v>
      </c>
      <c r="H68">
        <v>121.4</v>
      </c>
      <c r="I68">
        <v>151.6</v>
      </c>
      <c r="J68">
        <v>155.9</v>
      </c>
      <c r="K68">
        <v>121.7</v>
      </c>
      <c r="L68">
        <v>152.30000000000001</v>
      </c>
      <c r="M68">
        <v>141.4</v>
      </c>
      <c r="N68" s="19">
        <v>1.4347202295552367E-2</v>
      </c>
    </row>
    <row r="69" spans="1:14" x14ac:dyDescent="0.25">
      <c r="A69" t="s">
        <v>33</v>
      </c>
      <c r="B69">
        <v>2018</v>
      </c>
      <c r="C69">
        <v>8</v>
      </c>
      <c r="D69" s="10">
        <v>43313</v>
      </c>
      <c r="E69">
        <v>148</v>
      </c>
      <c r="F69">
        <v>138.1</v>
      </c>
      <c r="G69">
        <v>142.6</v>
      </c>
      <c r="H69">
        <v>122.2</v>
      </c>
      <c r="I69">
        <v>150.6</v>
      </c>
      <c r="J69">
        <v>156.6</v>
      </c>
      <c r="K69">
        <v>122.4</v>
      </c>
      <c r="L69">
        <v>153</v>
      </c>
      <c r="M69">
        <v>141.69999999999999</v>
      </c>
      <c r="N69" s="19">
        <v>2.121640735502001E-3</v>
      </c>
    </row>
    <row r="70" spans="1:14" x14ac:dyDescent="0.25">
      <c r="A70" t="s">
        <v>33</v>
      </c>
      <c r="B70">
        <v>2018</v>
      </c>
      <c r="C70">
        <v>9</v>
      </c>
      <c r="D70" s="10">
        <v>43344</v>
      </c>
      <c r="E70">
        <v>145.80000000000001</v>
      </c>
      <c r="F70">
        <v>135.1</v>
      </c>
      <c r="G70">
        <v>142.9</v>
      </c>
      <c r="H70">
        <v>122.1</v>
      </c>
      <c r="I70">
        <v>145.4</v>
      </c>
      <c r="J70">
        <v>150</v>
      </c>
      <c r="K70">
        <v>121.4</v>
      </c>
      <c r="L70">
        <v>153.80000000000001</v>
      </c>
      <c r="M70">
        <v>140.4</v>
      </c>
      <c r="N70" s="19">
        <v>-9.1743119266053854E-3</v>
      </c>
    </row>
    <row r="71" spans="1:14" x14ac:dyDescent="0.25">
      <c r="A71" t="s">
        <v>33</v>
      </c>
      <c r="B71">
        <v>2018</v>
      </c>
      <c r="C71">
        <v>10</v>
      </c>
      <c r="D71" s="10">
        <v>43374</v>
      </c>
      <c r="E71">
        <v>149.5</v>
      </c>
      <c r="F71">
        <v>137.30000000000001</v>
      </c>
      <c r="G71">
        <v>141.9</v>
      </c>
      <c r="H71">
        <v>121.1</v>
      </c>
      <c r="I71">
        <v>142.5</v>
      </c>
      <c r="J71">
        <v>146.69999999999999</v>
      </c>
      <c r="K71">
        <v>119.1</v>
      </c>
      <c r="L71">
        <v>154.5</v>
      </c>
      <c r="M71">
        <v>139.69999999999999</v>
      </c>
      <c r="N71" s="19">
        <v>-4.9857549857551071E-3</v>
      </c>
    </row>
    <row r="72" spans="1:14" x14ac:dyDescent="0.25">
      <c r="A72" t="s">
        <v>33</v>
      </c>
      <c r="B72">
        <v>2018</v>
      </c>
      <c r="C72">
        <v>11</v>
      </c>
      <c r="D72" s="10">
        <v>43405</v>
      </c>
      <c r="E72">
        <v>149.19999999999999</v>
      </c>
      <c r="F72">
        <v>137.1</v>
      </c>
      <c r="G72">
        <v>141.80000000000001</v>
      </c>
      <c r="H72">
        <v>121.1</v>
      </c>
      <c r="I72">
        <v>142.80000000000001</v>
      </c>
      <c r="J72">
        <v>146.69999999999999</v>
      </c>
      <c r="K72">
        <v>119.1</v>
      </c>
      <c r="L72">
        <v>154.5</v>
      </c>
      <c r="M72">
        <v>139.69999999999999</v>
      </c>
      <c r="N72" s="19">
        <v>0</v>
      </c>
    </row>
    <row r="73" spans="1:14" x14ac:dyDescent="0.25">
      <c r="A73" t="s">
        <v>33</v>
      </c>
      <c r="B73">
        <v>2018</v>
      </c>
      <c r="C73">
        <v>12</v>
      </c>
      <c r="D73" s="10">
        <v>43435</v>
      </c>
      <c r="E73">
        <v>150.5</v>
      </c>
      <c r="F73">
        <v>138.80000000000001</v>
      </c>
      <c r="G73">
        <v>142.1</v>
      </c>
      <c r="H73">
        <v>122</v>
      </c>
      <c r="I73">
        <v>139.4</v>
      </c>
      <c r="J73">
        <v>135.19999999999999</v>
      </c>
      <c r="K73">
        <v>119.8</v>
      </c>
      <c r="L73">
        <v>154.6</v>
      </c>
      <c r="M73">
        <v>138.19999999999999</v>
      </c>
      <c r="N73" s="19">
        <v>-1.0737294201861132E-2</v>
      </c>
    </row>
    <row r="74" spans="1:14" x14ac:dyDescent="0.25">
      <c r="A74" t="s">
        <v>33</v>
      </c>
      <c r="B74">
        <v>2019</v>
      </c>
      <c r="C74">
        <v>1</v>
      </c>
      <c r="D74" s="10">
        <v>43466</v>
      </c>
      <c r="E74">
        <v>151.4</v>
      </c>
      <c r="F74">
        <v>140.19999999999999</v>
      </c>
      <c r="G74">
        <v>142.1</v>
      </c>
      <c r="H74">
        <v>121.8</v>
      </c>
      <c r="I74">
        <v>135.4</v>
      </c>
      <c r="J74">
        <v>131.30000000000001</v>
      </c>
      <c r="K74">
        <v>120.3</v>
      </c>
      <c r="L74">
        <v>154.6</v>
      </c>
      <c r="M74">
        <v>137.4</v>
      </c>
      <c r="N74" s="19">
        <v>-5.7887120115773013E-3</v>
      </c>
    </row>
    <row r="75" spans="1:14" x14ac:dyDescent="0.25">
      <c r="A75" t="s">
        <v>33</v>
      </c>
      <c r="B75">
        <v>2019</v>
      </c>
      <c r="C75">
        <v>2</v>
      </c>
      <c r="D75" s="10">
        <v>43497</v>
      </c>
      <c r="E75">
        <v>152</v>
      </c>
      <c r="F75">
        <v>141.5</v>
      </c>
      <c r="G75">
        <v>142.19999999999999</v>
      </c>
      <c r="H75">
        <v>122</v>
      </c>
      <c r="I75">
        <v>136.4</v>
      </c>
      <c r="J75">
        <v>129.69999999999999</v>
      </c>
      <c r="K75">
        <v>121</v>
      </c>
      <c r="L75">
        <v>154.9</v>
      </c>
      <c r="M75">
        <v>137.5</v>
      </c>
      <c r="N75" s="19">
        <v>7.2780203784566459E-4</v>
      </c>
    </row>
    <row r="76" spans="1:14" x14ac:dyDescent="0.25">
      <c r="A76" t="s">
        <v>33</v>
      </c>
      <c r="B76">
        <v>2019</v>
      </c>
      <c r="C76">
        <v>3</v>
      </c>
      <c r="D76" s="10">
        <v>43525</v>
      </c>
      <c r="E76">
        <v>153</v>
      </c>
      <c r="F76">
        <v>140.30000000000001</v>
      </c>
      <c r="G76">
        <v>142.30000000000001</v>
      </c>
      <c r="H76">
        <v>122</v>
      </c>
      <c r="I76">
        <v>137.6</v>
      </c>
      <c r="J76">
        <v>132.6</v>
      </c>
      <c r="K76">
        <v>121.8</v>
      </c>
      <c r="L76">
        <v>155.19999999999999</v>
      </c>
      <c r="M76">
        <v>138.1</v>
      </c>
      <c r="N76" s="19">
        <v>4.3636363636363222E-3</v>
      </c>
    </row>
    <row r="77" spans="1:14" x14ac:dyDescent="0.25">
      <c r="A77" t="s">
        <v>33</v>
      </c>
      <c r="B77">
        <v>2019</v>
      </c>
      <c r="C77">
        <v>5</v>
      </c>
      <c r="D77" s="10">
        <v>43586</v>
      </c>
      <c r="E77">
        <v>158.5</v>
      </c>
      <c r="F77">
        <v>136</v>
      </c>
      <c r="G77">
        <v>142.5</v>
      </c>
      <c r="H77">
        <v>122</v>
      </c>
      <c r="I77">
        <v>146.5</v>
      </c>
      <c r="J77">
        <v>143</v>
      </c>
      <c r="K77">
        <v>124.9</v>
      </c>
      <c r="L77">
        <v>155.5</v>
      </c>
      <c r="M77">
        <v>140.9</v>
      </c>
      <c r="N77" s="19">
        <v>2.0275162925416448E-2</v>
      </c>
    </row>
    <row r="78" spans="1:14" x14ac:dyDescent="0.25">
      <c r="A78" t="s">
        <v>33</v>
      </c>
      <c r="B78">
        <v>2019</v>
      </c>
      <c r="C78">
        <v>6</v>
      </c>
      <c r="D78" s="10">
        <v>43617</v>
      </c>
      <c r="E78">
        <v>162.1</v>
      </c>
      <c r="F78">
        <v>137.80000000000001</v>
      </c>
      <c r="G78">
        <v>143.30000000000001</v>
      </c>
      <c r="H78">
        <v>122.2</v>
      </c>
      <c r="I78">
        <v>146.80000000000001</v>
      </c>
      <c r="J78">
        <v>150.5</v>
      </c>
      <c r="K78">
        <v>128.30000000000001</v>
      </c>
      <c r="L78">
        <v>155.9</v>
      </c>
      <c r="M78">
        <v>142.69999999999999</v>
      </c>
      <c r="N78" s="19">
        <v>1.2775017743080078E-2</v>
      </c>
    </row>
    <row r="79" spans="1:14" x14ac:dyDescent="0.25">
      <c r="A79" t="s">
        <v>33</v>
      </c>
      <c r="B79">
        <v>2019</v>
      </c>
      <c r="C79">
        <v>7</v>
      </c>
      <c r="D79" s="10">
        <v>43647</v>
      </c>
      <c r="E79">
        <v>162.69999999999999</v>
      </c>
      <c r="F79">
        <v>140</v>
      </c>
      <c r="G79">
        <v>144</v>
      </c>
      <c r="H79">
        <v>122.5</v>
      </c>
      <c r="I79">
        <v>150.30000000000001</v>
      </c>
      <c r="J79">
        <v>160.30000000000001</v>
      </c>
      <c r="K79">
        <v>130</v>
      </c>
      <c r="L79">
        <v>156.19999999999999</v>
      </c>
      <c r="M79">
        <v>144.69999999999999</v>
      </c>
      <c r="N79" s="19">
        <v>1.4015416958654521E-2</v>
      </c>
    </row>
    <row r="80" spans="1:14" x14ac:dyDescent="0.25">
      <c r="A80" t="s">
        <v>33</v>
      </c>
      <c r="B80">
        <v>2019</v>
      </c>
      <c r="C80">
        <v>8</v>
      </c>
      <c r="D80" s="10">
        <v>43678</v>
      </c>
      <c r="E80">
        <v>160.6</v>
      </c>
      <c r="F80">
        <v>138.5</v>
      </c>
      <c r="G80">
        <v>144.69999999999999</v>
      </c>
      <c r="H80">
        <v>122.9</v>
      </c>
      <c r="I80">
        <v>149.4</v>
      </c>
      <c r="J80">
        <v>167.4</v>
      </c>
      <c r="K80">
        <v>130.9</v>
      </c>
      <c r="L80">
        <v>156.6</v>
      </c>
      <c r="M80">
        <v>145.9</v>
      </c>
      <c r="N80" s="19">
        <v>8.2930200414652183E-3</v>
      </c>
    </row>
    <row r="81" spans="1:14" x14ac:dyDescent="0.25">
      <c r="A81" t="s">
        <v>33</v>
      </c>
      <c r="B81">
        <v>2019</v>
      </c>
      <c r="C81">
        <v>9</v>
      </c>
      <c r="D81" s="10">
        <v>43709</v>
      </c>
      <c r="E81">
        <v>160.80000000000001</v>
      </c>
      <c r="F81">
        <v>139.6</v>
      </c>
      <c r="G81">
        <v>145.4</v>
      </c>
      <c r="H81">
        <v>123.5</v>
      </c>
      <c r="I81">
        <v>146.6</v>
      </c>
      <c r="J81">
        <v>173.2</v>
      </c>
      <c r="K81">
        <v>131.6</v>
      </c>
      <c r="L81">
        <v>156.80000000000001</v>
      </c>
      <c r="M81">
        <v>147</v>
      </c>
      <c r="N81" s="19">
        <v>7.5394105551747376E-3</v>
      </c>
    </row>
    <row r="82" spans="1:14" x14ac:dyDescent="0.25">
      <c r="A82" t="s">
        <v>33</v>
      </c>
      <c r="B82">
        <v>2019</v>
      </c>
      <c r="C82">
        <v>10</v>
      </c>
      <c r="D82" s="10">
        <v>43739</v>
      </c>
      <c r="E82">
        <v>161</v>
      </c>
      <c r="F82">
        <v>142.6</v>
      </c>
      <c r="G82">
        <v>146.19999999999999</v>
      </c>
      <c r="H82">
        <v>123.9</v>
      </c>
      <c r="I82">
        <v>148</v>
      </c>
      <c r="J82">
        <v>188.4</v>
      </c>
      <c r="K82">
        <v>132.5</v>
      </c>
      <c r="L82">
        <v>157.1</v>
      </c>
      <c r="M82">
        <v>149.6</v>
      </c>
      <c r="N82" s="19">
        <v>1.7687074829931933E-2</v>
      </c>
    </row>
    <row r="83" spans="1:14" x14ac:dyDescent="0.25">
      <c r="A83" t="s">
        <v>33</v>
      </c>
      <c r="B83">
        <v>2019</v>
      </c>
      <c r="C83">
        <v>11</v>
      </c>
      <c r="D83" s="10">
        <v>43770</v>
      </c>
      <c r="E83">
        <v>163.19999999999999</v>
      </c>
      <c r="F83">
        <v>145.6</v>
      </c>
      <c r="G83">
        <v>146.69999999999999</v>
      </c>
      <c r="H83">
        <v>124.3</v>
      </c>
      <c r="I83">
        <v>147.4</v>
      </c>
      <c r="J83">
        <v>199.6</v>
      </c>
      <c r="K83">
        <v>135.69999999999999</v>
      </c>
      <c r="L83">
        <v>157.5</v>
      </c>
      <c r="M83">
        <v>151.9</v>
      </c>
      <c r="N83" s="19">
        <v>1.5374331550802216E-2</v>
      </c>
    </row>
    <row r="84" spans="1:14" x14ac:dyDescent="0.25">
      <c r="A84" t="s">
        <v>33</v>
      </c>
      <c r="B84">
        <v>2019</v>
      </c>
      <c r="C84">
        <v>12</v>
      </c>
      <c r="D84" s="10">
        <v>43800</v>
      </c>
      <c r="E84">
        <v>165</v>
      </c>
      <c r="F84">
        <v>151.1</v>
      </c>
      <c r="G84">
        <v>148.30000000000001</v>
      </c>
      <c r="H84">
        <v>125.7</v>
      </c>
      <c r="I84">
        <v>145.69999999999999</v>
      </c>
      <c r="J84">
        <v>217</v>
      </c>
      <c r="K84">
        <v>138.30000000000001</v>
      </c>
      <c r="L84">
        <v>158</v>
      </c>
      <c r="M84">
        <v>155</v>
      </c>
      <c r="N84" s="19">
        <v>2.0408163265306083E-2</v>
      </c>
    </row>
    <row r="85" spans="1:14" x14ac:dyDescent="0.25">
      <c r="A85" t="s">
        <v>33</v>
      </c>
      <c r="B85">
        <v>2020</v>
      </c>
      <c r="C85">
        <v>1</v>
      </c>
      <c r="D85" s="10">
        <v>43831</v>
      </c>
      <c r="E85">
        <v>167.4</v>
      </c>
      <c r="F85">
        <v>154.9</v>
      </c>
      <c r="G85">
        <v>150.1</v>
      </c>
      <c r="H85">
        <v>129.9</v>
      </c>
      <c r="I85">
        <v>143.19999999999999</v>
      </c>
      <c r="J85">
        <v>197</v>
      </c>
      <c r="K85">
        <v>140.4</v>
      </c>
      <c r="L85">
        <v>158.6</v>
      </c>
      <c r="M85">
        <v>153.5</v>
      </c>
      <c r="N85" s="19">
        <v>-9.6774193548387101E-3</v>
      </c>
    </row>
    <row r="86" spans="1:14" x14ac:dyDescent="0.25">
      <c r="A86" t="s">
        <v>33</v>
      </c>
      <c r="B86">
        <v>2020</v>
      </c>
      <c r="C86">
        <v>2</v>
      </c>
      <c r="D86" s="10">
        <v>43862</v>
      </c>
      <c r="E86">
        <v>167.5</v>
      </c>
      <c r="F86">
        <v>151.80000000000001</v>
      </c>
      <c r="G86">
        <v>150.80000000000001</v>
      </c>
      <c r="H86">
        <v>131.4</v>
      </c>
      <c r="I86">
        <v>141.80000000000001</v>
      </c>
      <c r="J86">
        <v>170.7</v>
      </c>
      <c r="K86">
        <v>141.1</v>
      </c>
      <c r="L86">
        <v>159.1</v>
      </c>
      <c r="M86">
        <v>150.5</v>
      </c>
      <c r="N86" s="19">
        <v>-1.9543973941368076E-2</v>
      </c>
    </row>
    <row r="87" spans="1:14" x14ac:dyDescent="0.25">
      <c r="A87" t="s">
        <v>33</v>
      </c>
      <c r="B87">
        <v>2020</v>
      </c>
      <c r="C87">
        <v>3</v>
      </c>
      <c r="D87" s="10">
        <v>43891</v>
      </c>
      <c r="E87">
        <v>167</v>
      </c>
      <c r="F87">
        <v>148.1</v>
      </c>
      <c r="G87">
        <v>151.5</v>
      </c>
      <c r="H87">
        <v>131.19999999999999</v>
      </c>
      <c r="I87">
        <v>142.5</v>
      </c>
      <c r="J87">
        <v>157.30000000000001</v>
      </c>
      <c r="K87">
        <v>141.1</v>
      </c>
      <c r="L87">
        <v>159.6</v>
      </c>
      <c r="M87">
        <v>148.9</v>
      </c>
      <c r="N87" s="19">
        <v>-1.0631229235880361E-2</v>
      </c>
    </row>
    <row r="88" spans="1:14" x14ac:dyDescent="0.25">
      <c r="A88" t="s">
        <v>33</v>
      </c>
      <c r="B88">
        <v>2020</v>
      </c>
      <c r="C88">
        <v>4</v>
      </c>
      <c r="D88" s="10">
        <v>43922</v>
      </c>
      <c r="E88">
        <v>167.3</v>
      </c>
      <c r="F88">
        <v>148.80000000000001</v>
      </c>
      <c r="G88">
        <v>155.6</v>
      </c>
      <c r="H88">
        <v>135.1</v>
      </c>
      <c r="I88">
        <v>149.9</v>
      </c>
      <c r="J88">
        <v>168.6</v>
      </c>
      <c r="K88">
        <v>150.4</v>
      </c>
      <c r="L88">
        <v>159.1</v>
      </c>
      <c r="M88">
        <v>151.4</v>
      </c>
      <c r="N88" s="19">
        <v>1.6789791806581598E-2</v>
      </c>
    </row>
    <row r="89" spans="1:14" x14ac:dyDescent="0.25">
      <c r="A89" t="s">
        <v>33</v>
      </c>
      <c r="B89">
        <v>2020</v>
      </c>
      <c r="C89">
        <v>5</v>
      </c>
      <c r="D89" s="10">
        <v>43952</v>
      </c>
      <c r="E89">
        <v>167.3</v>
      </c>
      <c r="F89">
        <v>150.9</v>
      </c>
      <c r="G89">
        <v>152</v>
      </c>
      <c r="H89">
        <v>131.9</v>
      </c>
      <c r="I89">
        <v>144.4</v>
      </c>
      <c r="J89">
        <v>173.4</v>
      </c>
      <c r="K89">
        <v>143.30000000000001</v>
      </c>
      <c r="L89">
        <v>159.1</v>
      </c>
      <c r="M89">
        <v>151.1</v>
      </c>
      <c r="N89" s="19">
        <v>-1.9815059445179085E-3</v>
      </c>
    </row>
    <row r="90" spans="1:14" x14ac:dyDescent="0.25">
      <c r="A90" t="s">
        <v>33</v>
      </c>
      <c r="B90">
        <v>2020</v>
      </c>
      <c r="C90">
        <v>6</v>
      </c>
      <c r="D90" s="10">
        <v>43983</v>
      </c>
      <c r="E90">
        <v>192.7</v>
      </c>
      <c r="F90">
        <v>151.4</v>
      </c>
      <c r="G90">
        <v>153.30000000000001</v>
      </c>
      <c r="H90">
        <v>136.30000000000001</v>
      </c>
      <c r="I90">
        <v>147.19999999999999</v>
      </c>
      <c r="J90">
        <v>156.5</v>
      </c>
      <c r="K90">
        <v>150.9</v>
      </c>
      <c r="L90">
        <v>161.80000000000001</v>
      </c>
      <c r="M90">
        <v>154</v>
      </c>
      <c r="N90" s="19">
        <v>1.9192587690271382E-2</v>
      </c>
    </row>
    <row r="91" spans="1:14" x14ac:dyDescent="0.25">
      <c r="A91" t="s">
        <v>33</v>
      </c>
      <c r="B91">
        <v>2020</v>
      </c>
      <c r="C91">
        <v>7</v>
      </c>
      <c r="D91" s="10">
        <v>44013</v>
      </c>
      <c r="E91">
        <v>192.7</v>
      </c>
      <c r="F91">
        <v>151.4</v>
      </c>
      <c r="G91">
        <v>153.30000000000001</v>
      </c>
      <c r="H91">
        <v>136.30000000000001</v>
      </c>
      <c r="I91">
        <v>147.19999999999999</v>
      </c>
      <c r="J91">
        <v>156.5</v>
      </c>
      <c r="K91">
        <v>150.9</v>
      </c>
      <c r="L91">
        <v>161.80000000000001</v>
      </c>
      <c r="M91">
        <v>154</v>
      </c>
      <c r="N91" s="19">
        <v>0</v>
      </c>
    </row>
    <row r="92" spans="1:14" x14ac:dyDescent="0.25">
      <c r="A92" t="s">
        <v>33</v>
      </c>
      <c r="B92">
        <v>2020</v>
      </c>
      <c r="C92">
        <v>8</v>
      </c>
      <c r="D92" s="10">
        <v>44044</v>
      </c>
      <c r="E92">
        <v>190.9</v>
      </c>
      <c r="F92">
        <v>150.80000000000001</v>
      </c>
      <c r="G92">
        <v>153.30000000000001</v>
      </c>
      <c r="H92">
        <v>137.4</v>
      </c>
      <c r="I92">
        <v>150.4</v>
      </c>
      <c r="J92">
        <v>178.1</v>
      </c>
      <c r="K92">
        <v>150.4</v>
      </c>
      <c r="L92">
        <v>162.30000000000001</v>
      </c>
      <c r="M92">
        <v>157</v>
      </c>
      <c r="N92" s="19">
        <v>1.948051948051948E-2</v>
      </c>
    </row>
    <row r="93" spans="1:14" x14ac:dyDescent="0.25">
      <c r="A93" t="s">
        <v>33</v>
      </c>
      <c r="B93">
        <v>2020</v>
      </c>
      <c r="C93">
        <v>9</v>
      </c>
      <c r="D93" s="10">
        <v>44075</v>
      </c>
      <c r="E93">
        <v>187.1</v>
      </c>
      <c r="F93">
        <v>152.5</v>
      </c>
      <c r="G93">
        <v>153.6</v>
      </c>
      <c r="H93">
        <v>138.19999999999999</v>
      </c>
      <c r="I93">
        <v>150.9</v>
      </c>
      <c r="J93">
        <v>186.7</v>
      </c>
      <c r="K93">
        <v>149.80000000000001</v>
      </c>
      <c r="L93">
        <v>162.9</v>
      </c>
      <c r="M93">
        <v>158</v>
      </c>
      <c r="N93" s="19">
        <v>6.369426751592357E-3</v>
      </c>
    </row>
    <row r="94" spans="1:14" x14ac:dyDescent="0.25">
      <c r="A94" t="s">
        <v>33</v>
      </c>
      <c r="B94">
        <v>2020</v>
      </c>
      <c r="C94">
        <v>10</v>
      </c>
      <c r="D94" s="10">
        <v>44105</v>
      </c>
      <c r="E94">
        <v>188.9</v>
      </c>
      <c r="F94">
        <v>161.4</v>
      </c>
      <c r="G94">
        <v>153.6</v>
      </c>
      <c r="H94">
        <v>140.1</v>
      </c>
      <c r="I94">
        <v>151.19999999999999</v>
      </c>
      <c r="J94">
        <v>209.2</v>
      </c>
      <c r="K94">
        <v>150.9</v>
      </c>
      <c r="L94">
        <v>163.19999999999999</v>
      </c>
      <c r="M94">
        <v>161.4</v>
      </c>
      <c r="N94" s="19">
        <v>2.1518987341772187E-2</v>
      </c>
    </row>
    <row r="95" spans="1:14" x14ac:dyDescent="0.25">
      <c r="A95" t="s">
        <v>33</v>
      </c>
      <c r="B95">
        <v>2020</v>
      </c>
      <c r="C95">
        <v>11</v>
      </c>
      <c r="D95" s="10">
        <v>44136</v>
      </c>
      <c r="E95">
        <v>191</v>
      </c>
      <c r="F95">
        <v>173.6</v>
      </c>
      <c r="G95">
        <v>153.80000000000001</v>
      </c>
      <c r="H95">
        <v>142.69999999999999</v>
      </c>
      <c r="I95">
        <v>148.4</v>
      </c>
      <c r="J95">
        <v>230</v>
      </c>
      <c r="K95">
        <v>156.80000000000001</v>
      </c>
      <c r="L95">
        <v>163.80000000000001</v>
      </c>
      <c r="M95">
        <v>164.7</v>
      </c>
      <c r="N95" s="19">
        <v>2.0446096654274985E-2</v>
      </c>
    </row>
    <row r="96" spans="1:14" x14ac:dyDescent="0.25">
      <c r="A96" t="s">
        <v>33</v>
      </c>
      <c r="B96">
        <v>2020</v>
      </c>
      <c r="C96">
        <v>12</v>
      </c>
      <c r="D96" s="10">
        <v>44166</v>
      </c>
      <c r="E96">
        <v>191</v>
      </c>
      <c r="F96">
        <v>175.3</v>
      </c>
      <c r="G96">
        <v>154.1</v>
      </c>
      <c r="H96">
        <v>146.6</v>
      </c>
      <c r="I96">
        <v>147.69999999999999</v>
      </c>
      <c r="J96">
        <v>230.5</v>
      </c>
      <c r="K96">
        <v>160.19999999999999</v>
      </c>
      <c r="L96">
        <v>164.8</v>
      </c>
      <c r="M96">
        <v>165.4</v>
      </c>
      <c r="N96" s="19">
        <v>4.2501517911355015E-3</v>
      </c>
    </row>
    <row r="97" spans="1:14" x14ac:dyDescent="0.25">
      <c r="A97" t="s">
        <v>33</v>
      </c>
      <c r="B97">
        <v>2021</v>
      </c>
      <c r="C97">
        <v>1</v>
      </c>
      <c r="D97" s="10">
        <v>44197</v>
      </c>
      <c r="E97">
        <v>190.1</v>
      </c>
      <c r="F97">
        <v>175.3</v>
      </c>
      <c r="G97">
        <v>154.1</v>
      </c>
      <c r="H97">
        <v>150.9</v>
      </c>
      <c r="I97">
        <v>149.6</v>
      </c>
      <c r="J97">
        <v>194.2</v>
      </c>
      <c r="K97">
        <v>160.4</v>
      </c>
      <c r="L97">
        <v>165.6</v>
      </c>
      <c r="M97">
        <v>161</v>
      </c>
      <c r="N97" s="19">
        <v>-2.6602176541717083E-2</v>
      </c>
    </row>
    <row r="98" spans="1:14" x14ac:dyDescent="0.25">
      <c r="A98" t="s">
        <v>33</v>
      </c>
      <c r="B98">
        <v>2021</v>
      </c>
      <c r="C98">
        <v>2</v>
      </c>
      <c r="D98" s="10">
        <v>44228</v>
      </c>
      <c r="E98">
        <v>186.5</v>
      </c>
      <c r="F98">
        <v>168.7</v>
      </c>
      <c r="G98">
        <v>154.69999999999999</v>
      </c>
      <c r="H98">
        <v>158.69999999999999</v>
      </c>
      <c r="I98">
        <v>150.69999999999999</v>
      </c>
      <c r="J98">
        <v>160</v>
      </c>
      <c r="K98">
        <v>158.80000000000001</v>
      </c>
      <c r="L98">
        <v>167.5</v>
      </c>
      <c r="M98">
        <v>156.9</v>
      </c>
      <c r="N98" s="19">
        <v>-2.5465838509316736E-2</v>
      </c>
    </row>
    <row r="99" spans="1:14" x14ac:dyDescent="0.25">
      <c r="A99" t="s">
        <v>33</v>
      </c>
      <c r="B99">
        <v>2021</v>
      </c>
      <c r="C99">
        <v>3</v>
      </c>
      <c r="D99" s="10">
        <v>44256</v>
      </c>
      <c r="E99">
        <v>192.2</v>
      </c>
      <c r="F99">
        <v>163.80000000000001</v>
      </c>
      <c r="G99">
        <v>154.9</v>
      </c>
      <c r="H99">
        <v>163.9</v>
      </c>
      <c r="I99">
        <v>153.69999999999999</v>
      </c>
      <c r="J99">
        <v>149.5</v>
      </c>
      <c r="K99">
        <v>159.80000000000001</v>
      </c>
      <c r="L99">
        <v>168.2</v>
      </c>
      <c r="M99">
        <v>156.69999999999999</v>
      </c>
      <c r="N99" s="19">
        <v>-1.2746972594010009E-3</v>
      </c>
    </row>
    <row r="100" spans="1:14" x14ac:dyDescent="0.25">
      <c r="A100" t="s">
        <v>33</v>
      </c>
      <c r="B100">
        <v>2021</v>
      </c>
      <c r="C100">
        <v>4</v>
      </c>
      <c r="D100" s="10">
        <v>44287</v>
      </c>
      <c r="E100">
        <v>198</v>
      </c>
      <c r="F100">
        <v>164.6</v>
      </c>
      <c r="G100">
        <v>155.4</v>
      </c>
      <c r="H100">
        <v>170.1</v>
      </c>
      <c r="I100">
        <v>164.4</v>
      </c>
      <c r="J100">
        <v>144.1</v>
      </c>
      <c r="K100">
        <v>161.69999999999999</v>
      </c>
      <c r="L100">
        <v>168.9</v>
      </c>
      <c r="M100">
        <v>158</v>
      </c>
      <c r="N100" s="19">
        <v>8.2961072112317253E-3</v>
      </c>
    </row>
    <row r="101" spans="1:14" x14ac:dyDescent="0.25">
      <c r="A101" t="s">
        <v>33</v>
      </c>
      <c r="B101">
        <v>2021</v>
      </c>
      <c r="C101">
        <v>5</v>
      </c>
      <c r="D101" s="10">
        <v>44317</v>
      </c>
      <c r="E101">
        <v>200.5</v>
      </c>
      <c r="F101">
        <v>170.3</v>
      </c>
      <c r="G101">
        <v>156.1</v>
      </c>
      <c r="H101">
        <v>178.7</v>
      </c>
      <c r="I101">
        <v>167.1</v>
      </c>
      <c r="J101">
        <v>147.9</v>
      </c>
      <c r="K101">
        <v>165.4</v>
      </c>
      <c r="L101">
        <v>170.4</v>
      </c>
      <c r="M101">
        <v>160.69999999999999</v>
      </c>
      <c r="N101" s="19">
        <v>1.7088607594936637E-2</v>
      </c>
    </row>
    <row r="102" spans="1:14" x14ac:dyDescent="0.25">
      <c r="A102" t="s">
        <v>33</v>
      </c>
      <c r="B102">
        <v>2021</v>
      </c>
      <c r="C102">
        <v>6</v>
      </c>
      <c r="D102" s="10">
        <v>44348</v>
      </c>
      <c r="E102">
        <v>202</v>
      </c>
      <c r="F102">
        <v>180.7</v>
      </c>
      <c r="G102">
        <v>156.19999999999999</v>
      </c>
      <c r="H102">
        <v>183.7</v>
      </c>
      <c r="I102">
        <v>164.6</v>
      </c>
      <c r="J102">
        <v>155.4</v>
      </c>
      <c r="K102">
        <v>166</v>
      </c>
      <c r="L102">
        <v>172.4</v>
      </c>
      <c r="M102">
        <v>162.6</v>
      </c>
      <c r="N102" s="19">
        <v>1.1823273179838244E-2</v>
      </c>
    </row>
    <row r="103" spans="1:14" x14ac:dyDescent="0.25">
      <c r="A103" t="s">
        <v>33</v>
      </c>
      <c r="B103">
        <v>2021</v>
      </c>
      <c r="C103">
        <v>7</v>
      </c>
      <c r="D103" s="10">
        <v>44378</v>
      </c>
      <c r="E103">
        <v>206.8</v>
      </c>
      <c r="F103">
        <v>182.2</v>
      </c>
      <c r="G103">
        <v>157.5</v>
      </c>
      <c r="H103">
        <v>182.1</v>
      </c>
      <c r="I103">
        <v>163.9</v>
      </c>
      <c r="J103">
        <v>164.2</v>
      </c>
      <c r="K103">
        <v>164</v>
      </c>
      <c r="L103">
        <v>172.2</v>
      </c>
      <c r="M103">
        <v>164</v>
      </c>
      <c r="N103" s="19">
        <v>8.6100861008610446E-3</v>
      </c>
    </row>
    <row r="104" spans="1:14" x14ac:dyDescent="0.25">
      <c r="A104" t="s">
        <v>33</v>
      </c>
      <c r="B104">
        <v>2021</v>
      </c>
      <c r="C104">
        <v>8</v>
      </c>
      <c r="D104" s="10">
        <v>44409</v>
      </c>
      <c r="E104">
        <v>204</v>
      </c>
      <c r="F104">
        <v>172.8</v>
      </c>
      <c r="G104">
        <v>158.4</v>
      </c>
      <c r="H104">
        <v>188</v>
      </c>
      <c r="I104">
        <v>156.80000000000001</v>
      </c>
      <c r="J104">
        <v>162.19999999999999</v>
      </c>
      <c r="K104">
        <v>164.1</v>
      </c>
      <c r="L104">
        <v>173.9</v>
      </c>
      <c r="M104">
        <v>164</v>
      </c>
      <c r="N104" s="19">
        <v>0</v>
      </c>
    </row>
    <row r="105" spans="1:14" x14ac:dyDescent="0.25">
      <c r="A105" t="s">
        <v>33</v>
      </c>
      <c r="B105">
        <v>2021</v>
      </c>
      <c r="C105">
        <v>9</v>
      </c>
      <c r="D105" s="10">
        <v>44440</v>
      </c>
      <c r="E105">
        <v>204</v>
      </c>
      <c r="F105">
        <v>172.8</v>
      </c>
      <c r="G105">
        <v>158.4</v>
      </c>
      <c r="H105">
        <v>188</v>
      </c>
      <c r="I105">
        <v>156.69999999999999</v>
      </c>
      <c r="J105">
        <v>162.30000000000001</v>
      </c>
      <c r="K105">
        <v>164.1</v>
      </c>
      <c r="L105">
        <v>173.9</v>
      </c>
      <c r="M105">
        <v>164</v>
      </c>
      <c r="N105" s="19">
        <v>0</v>
      </c>
    </row>
    <row r="106" spans="1:14" x14ac:dyDescent="0.25">
      <c r="A106" t="s">
        <v>33</v>
      </c>
      <c r="B106">
        <v>2021</v>
      </c>
      <c r="C106">
        <v>10</v>
      </c>
      <c r="D106" s="10">
        <v>44470</v>
      </c>
      <c r="E106">
        <v>204.6</v>
      </c>
      <c r="F106">
        <v>171.2</v>
      </c>
      <c r="G106">
        <v>158.69999999999999</v>
      </c>
      <c r="H106">
        <v>190.6</v>
      </c>
      <c r="I106">
        <v>155.69999999999999</v>
      </c>
      <c r="J106">
        <v>185.3</v>
      </c>
      <c r="K106">
        <v>165.2</v>
      </c>
      <c r="L106">
        <v>174.7</v>
      </c>
      <c r="M106">
        <v>167.7</v>
      </c>
      <c r="N106" s="19">
        <v>2.2560975609756027E-2</v>
      </c>
    </row>
    <row r="107" spans="1:14" x14ac:dyDescent="0.25">
      <c r="A107" t="s">
        <v>33</v>
      </c>
      <c r="B107">
        <v>2021</v>
      </c>
      <c r="C107">
        <v>11</v>
      </c>
      <c r="D107" s="10">
        <v>44501</v>
      </c>
      <c r="E107">
        <v>201.6</v>
      </c>
      <c r="F107">
        <v>173</v>
      </c>
      <c r="G107">
        <v>159.30000000000001</v>
      </c>
      <c r="H107">
        <v>190.1</v>
      </c>
      <c r="I107">
        <v>156.5</v>
      </c>
      <c r="J107">
        <v>199.2</v>
      </c>
      <c r="K107">
        <v>165.3</v>
      </c>
      <c r="L107">
        <v>175.5</v>
      </c>
      <c r="M107">
        <v>169.7</v>
      </c>
      <c r="N107" s="19">
        <v>1.1926058437686345E-2</v>
      </c>
    </row>
    <row r="108" spans="1:14" x14ac:dyDescent="0.25">
      <c r="A108" t="s">
        <v>33</v>
      </c>
      <c r="B108">
        <v>2021</v>
      </c>
      <c r="C108">
        <v>12</v>
      </c>
      <c r="D108" s="10">
        <v>44531</v>
      </c>
      <c r="E108">
        <v>198.8</v>
      </c>
      <c r="F108">
        <v>177.9</v>
      </c>
      <c r="G108">
        <v>159.9</v>
      </c>
      <c r="H108">
        <v>187.6</v>
      </c>
      <c r="I108">
        <v>154.9</v>
      </c>
      <c r="J108">
        <v>188.3</v>
      </c>
      <c r="K108">
        <v>164.4</v>
      </c>
      <c r="L108">
        <v>176.5</v>
      </c>
      <c r="M108">
        <v>168.2</v>
      </c>
      <c r="N108" s="19">
        <v>-8.8391278727165592E-3</v>
      </c>
    </row>
    <row r="109" spans="1:14" x14ac:dyDescent="0.25">
      <c r="A109" t="s">
        <v>33</v>
      </c>
      <c r="B109">
        <v>2022</v>
      </c>
      <c r="C109">
        <v>1</v>
      </c>
      <c r="D109" s="10">
        <v>44562</v>
      </c>
      <c r="E109">
        <v>198.7</v>
      </c>
      <c r="F109">
        <v>178.8</v>
      </c>
      <c r="G109">
        <v>160.5</v>
      </c>
      <c r="H109">
        <v>184.7</v>
      </c>
      <c r="I109">
        <v>153.69999999999999</v>
      </c>
      <c r="J109">
        <v>174.3</v>
      </c>
      <c r="K109">
        <v>163.9</v>
      </c>
      <c r="L109">
        <v>177.3</v>
      </c>
      <c r="M109">
        <v>166.4</v>
      </c>
      <c r="N109" s="19">
        <v>-1.070154577883462E-2</v>
      </c>
    </row>
    <row r="110" spans="1:14" x14ac:dyDescent="0.25">
      <c r="A110" t="s">
        <v>33</v>
      </c>
      <c r="B110">
        <v>2022</v>
      </c>
      <c r="C110">
        <v>2</v>
      </c>
      <c r="D110" s="10">
        <v>44593</v>
      </c>
      <c r="E110">
        <v>200.6</v>
      </c>
      <c r="F110">
        <v>175.8</v>
      </c>
      <c r="G110">
        <v>160.69999999999999</v>
      </c>
      <c r="H110">
        <v>184.9</v>
      </c>
      <c r="I110">
        <v>153.69999999999999</v>
      </c>
      <c r="J110">
        <v>169.7</v>
      </c>
      <c r="K110">
        <v>163.69999999999999</v>
      </c>
      <c r="L110">
        <v>178</v>
      </c>
      <c r="M110">
        <v>166.2</v>
      </c>
      <c r="N110" s="19">
        <v>-1.2019230769231793E-3</v>
      </c>
    </row>
    <row r="111" spans="1:14" x14ac:dyDescent="0.25">
      <c r="A111" t="s">
        <v>33</v>
      </c>
      <c r="B111">
        <v>2022</v>
      </c>
      <c r="C111">
        <v>3</v>
      </c>
      <c r="D111" s="10">
        <v>44621</v>
      </c>
      <c r="E111">
        <v>210.7</v>
      </c>
      <c r="F111">
        <v>167.8</v>
      </c>
      <c r="G111">
        <v>162.19999999999999</v>
      </c>
      <c r="H111">
        <v>194.6</v>
      </c>
      <c r="I111">
        <v>157.6</v>
      </c>
      <c r="J111">
        <v>166.9</v>
      </c>
      <c r="K111">
        <v>163.9</v>
      </c>
      <c r="L111">
        <v>179.3</v>
      </c>
      <c r="M111">
        <v>168.4</v>
      </c>
      <c r="N111" s="19">
        <v>1.3237063778580128E-2</v>
      </c>
    </row>
    <row r="112" spans="1:14" x14ac:dyDescent="0.25">
      <c r="A112" t="s">
        <v>33</v>
      </c>
      <c r="B112">
        <v>2022</v>
      </c>
      <c r="C112">
        <v>4</v>
      </c>
      <c r="D112" s="10">
        <v>44652</v>
      </c>
      <c r="E112">
        <v>211.8</v>
      </c>
      <c r="F112">
        <v>164.5</v>
      </c>
      <c r="G112">
        <v>163.9</v>
      </c>
      <c r="H112">
        <v>199.5</v>
      </c>
      <c r="I112">
        <v>172.6</v>
      </c>
      <c r="J112">
        <v>166.2</v>
      </c>
      <c r="K112">
        <v>164.7</v>
      </c>
      <c r="L112">
        <v>180.9</v>
      </c>
      <c r="M112">
        <v>170.8</v>
      </c>
      <c r="N112" s="19">
        <v>1.4251781472684119E-2</v>
      </c>
    </row>
    <row r="113" spans="1:14" x14ac:dyDescent="0.25">
      <c r="A113" t="s">
        <v>33</v>
      </c>
      <c r="B113">
        <v>2022</v>
      </c>
      <c r="C113">
        <v>5</v>
      </c>
      <c r="D113" s="10">
        <v>44682</v>
      </c>
      <c r="E113">
        <v>217</v>
      </c>
      <c r="F113">
        <v>162.4</v>
      </c>
      <c r="G113">
        <v>164.9</v>
      </c>
      <c r="H113">
        <v>202.4</v>
      </c>
      <c r="I113">
        <v>171</v>
      </c>
      <c r="J113">
        <v>174.9</v>
      </c>
      <c r="K113">
        <v>164.7</v>
      </c>
      <c r="L113">
        <v>182.5</v>
      </c>
      <c r="M113">
        <v>173.3</v>
      </c>
      <c r="N113" s="19">
        <v>1.4637002341920374E-2</v>
      </c>
    </row>
    <row r="114" spans="1:14" x14ac:dyDescent="0.25">
      <c r="A114" t="s">
        <v>33</v>
      </c>
      <c r="B114">
        <v>2022</v>
      </c>
      <c r="C114">
        <v>6</v>
      </c>
      <c r="D114" s="10">
        <v>44713</v>
      </c>
      <c r="E114">
        <v>219.4</v>
      </c>
      <c r="F114">
        <v>170.8</v>
      </c>
      <c r="G114">
        <v>165.8</v>
      </c>
      <c r="H114">
        <v>200.9</v>
      </c>
      <c r="I114">
        <v>169.7</v>
      </c>
      <c r="J114">
        <v>182.3</v>
      </c>
      <c r="K114">
        <v>164.3</v>
      </c>
      <c r="L114">
        <v>183.9</v>
      </c>
      <c r="M114">
        <v>174.9</v>
      </c>
      <c r="N114" s="19">
        <v>9.2325447201384546E-3</v>
      </c>
    </row>
    <row r="115" spans="1:14" x14ac:dyDescent="0.25">
      <c r="A115" t="s">
        <v>33</v>
      </c>
      <c r="B115">
        <v>2022</v>
      </c>
      <c r="C115">
        <v>7</v>
      </c>
      <c r="D115" s="10">
        <v>44743</v>
      </c>
      <c r="E115">
        <v>213</v>
      </c>
      <c r="F115">
        <v>175.2</v>
      </c>
      <c r="G115">
        <v>166.6</v>
      </c>
      <c r="H115">
        <v>195.8</v>
      </c>
      <c r="I115">
        <v>174.2</v>
      </c>
      <c r="J115">
        <v>182.1</v>
      </c>
      <c r="K115">
        <v>164.3</v>
      </c>
      <c r="L115">
        <v>185.2</v>
      </c>
      <c r="M115">
        <v>175</v>
      </c>
      <c r="N115" s="19">
        <v>5.7175528873638828E-4</v>
      </c>
    </row>
    <row r="116" spans="1:14" x14ac:dyDescent="0.25">
      <c r="A116" t="s">
        <v>33</v>
      </c>
      <c r="B116">
        <v>2022</v>
      </c>
      <c r="C116">
        <v>8</v>
      </c>
      <c r="D116" s="10">
        <v>44774</v>
      </c>
      <c r="E116">
        <v>206.5</v>
      </c>
      <c r="F116">
        <v>169.2</v>
      </c>
      <c r="G116">
        <v>168.1</v>
      </c>
      <c r="H116">
        <v>192.4</v>
      </c>
      <c r="I116">
        <v>172.9</v>
      </c>
      <c r="J116">
        <v>186.7</v>
      </c>
      <c r="K116">
        <v>167.2</v>
      </c>
      <c r="L116">
        <v>186.3</v>
      </c>
      <c r="M116">
        <v>176.3</v>
      </c>
      <c r="N116" s="19">
        <v>7.4285714285714935E-3</v>
      </c>
    </row>
    <row r="117" spans="1:14" x14ac:dyDescent="0.25">
      <c r="A117" t="s">
        <v>33</v>
      </c>
      <c r="B117">
        <v>2022</v>
      </c>
      <c r="C117">
        <v>9</v>
      </c>
      <c r="D117" s="10">
        <v>44805</v>
      </c>
      <c r="E117">
        <v>209.2</v>
      </c>
      <c r="F117">
        <v>169.7</v>
      </c>
      <c r="G117">
        <v>169.7</v>
      </c>
      <c r="H117">
        <v>188.7</v>
      </c>
      <c r="I117">
        <v>165.7</v>
      </c>
      <c r="J117">
        <v>191.8</v>
      </c>
      <c r="K117">
        <v>169.1</v>
      </c>
      <c r="L117">
        <v>187.4</v>
      </c>
      <c r="M117">
        <v>177.8</v>
      </c>
      <c r="N117" s="19">
        <v>8.5082246171298923E-3</v>
      </c>
    </row>
    <row r="118" spans="1:14" x14ac:dyDescent="0.25">
      <c r="A118" t="s">
        <v>33</v>
      </c>
      <c r="B118">
        <v>2022</v>
      </c>
      <c r="C118">
        <v>10</v>
      </c>
      <c r="D118" s="10">
        <v>44835</v>
      </c>
      <c r="E118">
        <v>210.9</v>
      </c>
      <c r="F118">
        <v>170.9</v>
      </c>
      <c r="G118">
        <v>170.9</v>
      </c>
      <c r="H118">
        <v>186.5</v>
      </c>
      <c r="I118">
        <v>163.80000000000001</v>
      </c>
      <c r="J118">
        <v>199.7</v>
      </c>
      <c r="K118">
        <v>169.8</v>
      </c>
      <c r="L118">
        <v>188.3</v>
      </c>
      <c r="M118">
        <v>179.6</v>
      </c>
      <c r="N118" s="19">
        <v>1.0123734533183255E-2</v>
      </c>
    </row>
    <row r="119" spans="1:14" x14ac:dyDescent="0.25">
      <c r="A119" t="s">
        <v>33</v>
      </c>
      <c r="B119">
        <v>2022</v>
      </c>
      <c r="C119">
        <v>11</v>
      </c>
      <c r="D119" s="10">
        <v>44866</v>
      </c>
      <c r="E119">
        <v>209.4</v>
      </c>
      <c r="F119">
        <v>181.4</v>
      </c>
      <c r="G119">
        <v>172.3</v>
      </c>
      <c r="H119">
        <v>188.9</v>
      </c>
      <c r="I119">
        <v>160.69999999999999</v>
      </c>
      <c r="J119">
        <v>183.1</v>
      </c>
      <c r="K119">
        <v>170.5</v>
      </c>
      <c r="L119">
        <v>189.5</v>
      </c>
      <c r="M119">
        <v>178.3</v>
      </c>
      <c r="N119" s="19">
        <v>-7.2383073496658295E-3</v>
      </c>
    </row>
    <row r="120" spans="1:14" x14ac:dyDescent="0.25">
      <c r="A120" t="s">
        <v>33</v>
      </c>
      <c r="B120">
        <v>2022</v>
      </c>
      <c r="C120">
        <v>12</v>
      </c>
      <c r="D120" s="10">
        <v>44896</v>
      </c>
      <c r="E120">
        <v>209</v>
      </c>
      <c r="F120">
        <v>190.2</v>
      </c>
      <c r="G120">
        <v>173.6</v>
      </c>
      <c r="H120">
        <v>188.5</v>
      </c>
      <c r="I120">
        <v>158</v>
      </c>
      <c r="J120">
        <v>159.9</v>
      </c>
      <c r="K120">
        <v>170.8</v>
      </c>
      <c r="L120">
        <v>190.3</v>
      </c>
      <c r="M120">
        <v>175.9</v>
      </c>
      <c r="N120" s="19">
        <v>-1.3460459899046581E-2</v>
      </c>
    </row>
    <row r="121" spans="1:14" x14ac:dyDescent="0.25">
      <c r="A121" t="s">
        <v>33</v>
      </c>
      <c r="B121">
        <v>2023</v>
      </c>
      <c r="C121">
        <v>1</v>
      </c>
      <c r="D121" s="10">
        <v>44927</v>
      </c>
      <c r="E121">
        <v>210.7</v>
      </c>
      <c r="F121">
        <v>194.5</v>
      </c>
      <c r="G121">
        <v>174.6</v>
      </c>
      <c r="H121">
        <v>187.2</v>
      </c>
      <c r="I121">
        <v>158.30000000000001</v>
      </c>
      <c r="J121">
        <v>153.9</v>
      </c>
      <c r="K121">
        <v>170.9</v>
      </c>
      <c r="L121">
        <v>191.2</v>
      </c>
      <c r="M121">
        <v>176.7</v>
      </c>
      <c r="N121" s="19">
        <v>4.5480386583284984E-3</v>
      </c>
    </row>
    <row r="122" spans="1:14" x14ac:dyDescent="0.25">
      <c r="A122" t="s">
        <v>33</v>
      </c>
      <c r="B122">
        <v>2023</v>
      </c>
      <c r="C122">
        <v>2</v>
      </c>
      <c r="D122" s="10">
        <v>44958</v>
      </c>
      <c r="E122">
        <v>207.7</v>
      </c>
      <c r="F122">
        <v>175.2</v>
      </c>
      <c r="G122">
        <v>177.3</v>
      </c>
      <c r="H122">
        <v>179.3</v>
      </c>
      <c r="I122">
        <v>169.5</v>
      </c>
      <c r="J122">
        <v>152.69999999999999</v>
      </c>
      <c r="K122">
        <v>171</v>
      </c>
      <c r="L122">
        <v>193</v>
      </c>
      <c r="M122">
        <v>177</v>
      </c>
      <c r="N122" s="19">
        <v>1.6977928692700134E-3</v>
      </c>
    </row>
    <row r="123" spans="1:14" x14ac:dyDescent="0.25">
      <c r="A123" t="s">
        <v>33</v>
      </c>
      <c r="B123">
        <v>2023</v>
      </c>
      <c r="C123">
        <v>3</v>
      </c>
      <c r="D123" s="10">
        <v>44986</v>
      </c>
      <c r="E123">
        <v>207.7</v>
      </c>
      <c r="F123">
        <v>175.2</v>
      </c>
      <c r="G123">
        <v>177.3</v>
      </c>
      <c r="H123">
        <v>179.2</v>
      </c>
      <c r="I123">
        <v>169.5</v>
      </c>
      <c r="J123">
        <v>152.80000000000001</v>
      </c>
      <c r="K123">
        <v>171.1</v>
      </c>
      <c r="L123">
        <v>193</v>
      </c>
      <c r="M123">
        <v>177</v>
      </c>
      <c r="N123" s="19">
        <v>0</v>
      </c>
    </row>
    <row r="124" spans="1:14" x14ac:dyDescent="0.25">
      <c r="A124" t="s">
        <v>33</v>
      </c>
      <c r="B124">
        <v>2023</v>
      </c>
      <c r="C124">
        <v>4</v>
      </c>
      <c r="D124" s="10">
        <v>45017</v>
      </c>
      <c r="E124">
        <v>209.3</v>
      </c>
      <c r="F124">
        <v>169.6</v>
      </c>
      <c r="G124">
        <v>178.4</v>
      </c>
      <c r="H124">
        <v>174.9</v>
      </c>
      <c r="I124">
        <v>176.3</v>
      </c>
      <c r="J124">
        <v>155.4</v>
      </c>
      <c r="K124">
        <v>173.4</v>
      </c>
      <c r="L124">
        <v>193.5</v>
      </c>
      <c r="M124">
        <v>177.9</v>
      </c>
      <c r="N124" s="19">
        <v>5.0847457627118961E-3</v>
      </c>
    </row>
    <row r="125" spans="1:14" x14ac:dyDescent="0.25">
      <c r="A125" t="s">
        <v>33</v>
      </c>
      <c r="B125">
        <v>2023</v>
      </c>
      <c r="C125">
        <v>5</v>
      </c>
      <c r="D125" s="10">
        <v>45047</v>
      </c>
      <c r="E125">
        <v>214.3</v>
      </c>
      <c r="F125">
        <v>173.2</v>
      </c>
      <c r="G125">
        <v>179.5</v>
      </c>
      <c r="H125">
        <v>170</v>
      </c>
      <c r="I125">
        <v>172.2</v>
      </c>
      <c r="J125">
        <v>161</v>
      </c>
      <c r="K125">
        <v>175.6</v>
      </c>
      <c r="L125">
        <v>194.2</v>
      </c>
      <c r="M125">
        <v>179.1</v>
      </c>
      <c r="N125" s="19">
        <v>6.7453625632377095E-3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56B35-415E-4D96-B4F7-B1382DC01A91}">
  <dimension ref="A2:O27"/>
  <sheetViews>
    <sheetView zoomScale="70" zoomScaleNormal="70" workbookViewId="0">
      <selection activeCell="B19" sqref="B19"/>
    </sheetView>
  </sheetViews>
  <sheetFormatPr defaultRowHeight="15" x14ac:dyDescent="0.25"/>
  <cols>
    <col min="1" max="1" width="12.42578125" bestFit="1" customWidth="1"/>
    <col min="2" max="2" width="21.7109375" bestFit="1" customWidth="1"/>
    <col min="3" max="3" width="13.5703125" bestFit="1" customWidth="1"/>
    <col min="4" max="4" width="14.42578125" bestFit="1" customWidth="1"/>
    <col min="5" max="5" width="9.7109375" bestFit="1" customWidth="1"/>
    <col min="6" max="19" width="12.7109375" bestFit="1" customWidth="1"/>
    <col min="20" max="20" width="12" bestFit="1" customWidth="1"/>
    <col min="21" max="26" width="12.7109375" bestFit="1" customWidth="1"/>
    <col min="27" max="29" width="12" bestFit="1" customWidth="1"/>
    <col min="30" max="30" width="12.7109375" bestFit="1" customWidth="1"/>
    <col min="31" max="32" width="12" bestFit="1" customWidth="1"/>
    <col min="33" max="34" width="12.7109375" bestFit="1" customWidth="1"/>
    <col min="35" max="36" width="12" bestFit="1" customWidth="1"/>
    <col min="37" max="38" width="12.7109375" bestFit="1" customWidth="1"/>
    <col min="39" max="41" width="12" bestFit="1" customWidth="1"/>
    <col min="42" max="42" width="12.7109375" bestFit="1" customWidth="1"/>
    <col min="43" max="48" width="12" bestFit="1" customWidth="1"/>
    <col min="49" max="49" width="12.7109375" bestFit="1" customWidth="1"/>
    <col min="50" max="54" width="12" bestFit="1" customWidth="1"/>
    <col min="55" max="55" width="12.7109375" bestFit="1" customWidth="1"/>
    <col min="56" max="57" width="12" bestFit="1" customWidth="1"/>
    <col min="58" max="58" width="12.7109375" bestFit="1" customWidth="1"/>
    <col min="59" max="60" width="12" bestFit="1" customWidth="1"/>
    <col min="61" max="61" width="12.7109375" bestFit="1" customWidth="1"/>
    <col min="62" max="63" width="12" bestFit="1" customWidth="1"/>
    <col min="64" max="65" width="12.7109375" bestFit="1" customWidth="1"/>
    <col min="66" max="67" width="12" bestFit="1" customWidth="1"/>
    <col min="68" max="68" width="12.7109375" bestFit="1" customWidth="1"/>
    <col min="69" max="72" width="12" bestFit="1" customWidth="1"/>
    <col min="73" max="73" width="12.7109375" bestFit="1" customWidth="1"/>
    <col min="74" max="74" width="12" bestFit="1" customWidth="1"/>
    <col min="75" max="78" width="12.7109375" bestFit="1" customWidth="1"/>
    <col min="79" max="79" width="12" bestFit="1" customWidth="1"/>
    <col min="80" max="91" width="12.7109375" bestFit="1" customWidth="1"/>
    <col min="92" max="92" width="12" bestFit="1" customWidth="1"/>
    <col min="93" max="101" width="12.7109375" bestFit="1" customWidth="1"/>
    <col min="102" max="102" width="12" bestFit="1" customWidth="1"/>
    <col min="103" max="105" width="12.7109375" bestFit="1" customWidth="1"/>
    <col min="106" max="106" width="12" bestFit="1" customWidth="1"/>
    <col min="107" max="110" width="12.7109375" bestFit="1" customWidth="1"/>
    <col min="111" max="146" width="12" bestFit="1" customWidth="1"/>
    <col min="147" max="160" width="12.7109375" bestFit="1" customWidth="1"/>
    <col min="161" max="162" width="12" bestFit="1" customWidth="1"/>
    <col min="163" max="170" width="12.7109375" bestFit="1" customWidth="1"/>
    <col min="171" max="172" width="12" bestFit="1" customWidth="1"/>
    <col min="173" max="176" width="12.7109375" bestFit="1" customWidth="1"/>
    <col min="177" max="180" width="12" bestFit="1" customWidth="1"/>
    <col min="181" max="200" width="12.7109375" bestFit="1" customWidth="1"/>
    <col min="201" max="202" width="12" bestFit="1" customWidth="1"/>
    <col min="203" max="230" width="12.7109375" bestFit="1" customWidth="1"/>
    <col min="231" max="232" width="12" bestFit="1" customWidth="1"/>
    <col min="233" max="260" width="12.7109375" bestFit="1" customWidth="1"/>
  </cols>
  <sheetData>
    <row r="2" spans="1:15" x14ac:dyDescent="0.25">
      <c r="A2" s="2" t="s">
        <v>1</v>
      </c>
      <c r="B2" t="s">
        <v>50</v>
      </c>
    </row>
    <row r="3" spans="1:15" x14ac:dyDescent="0.25">
      <c r="M3" t="s">
        <v>52</v>
      </c>
      <c r="N3" t="s">
        <v>59</v>
      </c>
      <c r="O3" t="s">
        <v>60</v>
      </c>
    </row>
    <row r="4" spans="1:15" x14ac:dyDescent="0.25">
      <c r="B4" s="2" t="s">
        <v>51</v>
      </c>
      <c r="M4" t="s">
        <v>56</v>
      </c>
      <c r="N4" s="15">
        <v>138.66595744680851</v>
      </c>
      <c r="O4" s="15">
        <v>165.70731707317071</v>
      </c>
    </row>
    <row r="5" spans="1:15" x14ac:dyDescent="0.25">
      <c r="A5" s="2" t="s">
        <v>52</v>
      </c>
      <c r="B5" t="s">
        <v>30</v>
      </c>
      <c r="C5" t="s">
        <v>33</v>
      </c>
      <c r="D5" t="s">
        <v>32</v>
      </c>
      <c r="M5" t="s">
        <v>57</v>
      </c>
      <c r="N5" s="15">
        <v>133.39574468085104</v>
      </c>
      <c r="O5" s="15">
        <v>162.26341463414633</v>
      </c>
    </row>
    <row r="6" spans="1:15" x14ac:dyDescent="0.25">
      <c r="A6" s="3" t="s">
        <v>47</v>
      </c>
      <c r="B6" s="4">
        <v>141.64032258064515</v>
      </c>
      <c r="C6" s="4">
        <v>142.39838709677429</v>
      </c>
      <c r="D6" s="4">
        <v>143.70322580645154</v>
      </c>
      <c r="M6" t="s">
        <v>58</v>
      </c>
      <c r="N6" s="15">
        <v>134.55957446808509</v>
      </c>
      <c r="O6" s="15">
        <v>167.6</v>
      </c>
    </row>
    <row r="7" spans="1:15" x14ac:dyDescent="0.25">
      <c r="A7" s="3" t="s">
        <v>48</v>
      </c>
      <c r="B7" s="4">
        <v>141.50161290322578</v>
      </c>
      <c r="C7" s="4">
        <v>139.12499999999994</v>
      </c>
      <c r="D7" s="4">
        <v>135.21532258064519</v>
      </c>
    </row>
    <row r="8" spans="1:15" x14ac:dyDescent="0.25">
      <c r="A8" s="3" t="s">
        <v>49</v>
      </c>
      <c r="B8" s="4">
        <v>140.60564516129025</v>
      </c>
      <c r="C8" s="4">
        <v>137.29919354838705</v>
      </c>
      <c r="D8" s="4">
        <v>131.83387096774197</v>
      </c>
    </row>
    <row r="16" spans="1:15" x14ac:dyDescent="0.25">
      <c r="A16" s="2" t="s">
        <v>0</v>
      </c>
      <c r="B16" t="s">
        <v>33</v>
      </c>
    </row>
    <row r="18" spans="1:8" x14ac:dyDescent="0.25">
      <c r="B18" s="2" t="s">
        <v>51</v>
      </c>
    </row>
    <row r="19" spans="1:8" x14ac:dyDescent="0.25">
      <c r="A19" s="2" t="s">
        <v>52</v>
      </c>
      <c r="B19" t="s">
        <v>123</v>
      </c>
      <c r="C19" t="s">
        <v>124</v>
      </c>
      <c r="D19" t="s">
        <v>125</v>
      </c>
    </row>
    <row r="20" spans="1:8" x14ac:dyDescent="0.25">
      <c r="A20" s="3" t="s">
        <v>56</v>
      </c>
      <c r="B20" s="15">
        <v>120.72499999999998</v>
      </c>
      <c r="C20" s="15">
        <v>138.66595744680851</v>
      </c>
      <c r="D20" s="15">
        <v>165.70731707317074</v>
      </c>
      <c r="E20" s="16" t="e">
        <f>D20/GETPIVOTDATA("Food",$A$18,"Year","Pre-COVID")</f>
        <v>#REF!</v>
      </c>
    </row>
    <row r="21" spans="1:8" x14ac:dyDescent="0.25">
      <c r="A21" s="3" t="s">
        <v>57</v>
      </c>
      <c r="B21" s="15">
        <v>113.96388888888889</v>
      </c>
      <c r="C21" s="15">
        <v>133.39574468085104</v>
      </c>
      <c r="D21" s="15">
        <v>162.2634146341463</v>
      </c>
      <c r="E21" s="16" t="e">
        <f>D21/GETPIVOTDATA("Fuel &amp; Light",$A$18,"Year","Pre-COVID")</f>
        <v>#REF!</v>
      </c>
    </row>
    <row r="22" spans="1:8" x14ac:dyDescent="0.25">
      <c r="A22" s="3" t="s">
        <v>58</v>
      </c>
      <c r="B22" s="15">
        <v>112.65555555555555</v>
      </c>
      <c r="C22" s="15">
        <v>134.55957446808506</v>
      </c>
      <c r="D22" s="15">
        <v>167.59999999999997</v>
      </c>
      <c r="E22" s="16" t="e">
        <f>D22/GETPIVOTDATA("Health_",$A$18,"Year","Pre-COVID")</f>
        <v>#REF!</v>
      </c>
    </row>
    <row r="25" spans="1:8" x14ac:dyDescent="0.25">
      <c r="D25" s="15">
        <f>AVERAGE(C20:C22)</f>
        <v>135.54042553191485</v>
      </c>
      <c r="H25" t="s">
        <v>61</v>
      </c>
    </row>
    <row r="26" spans="1:8" x14ac:dyDescent="0.25">
      <c r="H26" t="s">
        <v>62</v>
      </c>
    </row>
    <row r="27" spans="1:8" x14ac:dyDescent="0.25">
      <c r="H27" t="s">
        <v>63</v>
      </c>
    </row>
  </sheetData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9A5A8-00C6-415E-8AF6-CFC13BAC5B5D}">
  <dimension ref="A1:O30"/>
  <sheetViews>
    <sheetView topLeftCell="A4" workbookViewId="0">
      <selection activeCell="O26" sqref="O26"/>
    </sheetView>
  </sheetViews>
  <sheetFormatPr defaultRowHeight="15" x14ac:dyDescent="0.25"/>
  <cols>
    <col min="1" max="1" width="7.28515625" bestFit="1" customWidth="1"/>
    <col min="2" max="2" width="13.140625" hidden="1" customWidth="1"/>
    <col min="3" max="3" width="16.7109375" style="12" bestFit="1" customWidth="1"/>
    <col min="4" max="4" width="28.28515625" hidden="1" customWidth="1"/>
    <col min="5" max="5" width="13.42578125" style="12" bestFit="1" customWidth="1"/>
    <col min="6" max="6" width="13.7109375" hidden="1" customWidth="1"/>
    <col min="7" max="7" width="11.7109375" style="12" bestFit="1" customWidth="1"/>
  </cols>
  <sheetData>
    <row r="1" spans="1:8" x14ac:dyDescent="0.25">
      <c r="A1" s="1" t="s">
        <v>35</v>
      </c>
      <c r="B1" s="1" t="s">
        <v>21</v>
      </c>
      <c r="C1" s="17" t="s">
        <v>75</v>
      </c>
      <c r="D1" s="1" t="s">
        <v>24</v>
      </c>
      <c r="E1" s="17" t="s">
        <v>76</v>
      </c>
      <c r="F1" s="1" t="s">
        <v>29</v>
      </c>
      <c r="G1" s="17" t="s">
        <v>77</v>
      </c>
    </row>
    <row r="2" spans="1:8" x14ac:dyDescent="0.25">
      <c r="A2" s="13">
        <v>44197</v>
      </c>
      <c r="B2">
        <v>147.9</v>
      </c>
      <c r="C2" s="12">
        <v>0</v>
      </c>
      <c r="D2">
        <v>141.9</v>
      </c>
      <c r="E2" s="12">
        <v>0</v>
      </c>
      <c r="F2">
        <v>157.30000000000001</v>
      </c>
      <c r="G2" s="12">
        <v>0</v>
      </c>
      <c r="H2">
        <f>CORREL(C2:C30,E2:E30)</f>
        <v>0.95903272898358083</v>
      </c>
    </row>
    <row r="3" spans="1:8" x14ac:dyDescent="0.25">
      <c r="A3" s="13">
        <v>44562</v>
      </c>
      <c r="B3">
        <v>164.2</v>
      </c>
      <c r="C3" s="12">
        <f>(B3-B2)/B2</f>
        <v>0.11020960108181191</v>
      </c>
      <c r="D3">
        <v>156.5</v>
      </c>
      <c r="E3" s="12">
        <f>(D3-D2)/D2</f>
        <v>0.10288935870331214</v>
      </c>
      <c r="F3">
        <v>165.7</v>
      </c>
      <c r="G3" s="12">
        <f>(F3-F2)/F2</f>
        <v>5.3401144310235071E-2</v>
      </c>
      <c r="H3" s="5">
        <f>AVERAGE(G2:G30)</f>
        <v>6.4025014034270857E-3</v>
      </c>
    </row>
    <row r="4" spans="1:8" x14ac:dyDescent="0.25">
      <c r="A4" s="13">
        <v>44927</v>
      </c>
      <c r="B4">
        <v>182</v>
      </c>
      <c r="C4" s="12">
        <f t="shared" ref="C4:C30" si="0">(B4-B3)/B3</f>
        <v>0.1084043848964678</v>
      </c>
      <c r="D4">
        <v>163.6</v>
      </c>
      <c r="E4" s="12">
        <f t="shared" ref="E4:E30" si="1">(D4-D3)/D3</f>
        <v>4.5367412140575041E-2</v>
      </c>
      <c r="F4">
        <v>176.5</v>
      </c>
      <c r="G4" s="12">
        <f t="shared" ref="G4:G30" si="2">(F4-F3)/F3</f>
        <v>6.5178032589016374E-2</v>
      </c>
    </row>
    <row r="5" spans="1:8" x14ac:dyDescent="0.25">
      <c r="A5" s="13">
        <v>44228</v>
      </c>
      <c r="B5">
        <v>152.4</v>
      </c>
      <c r="C5" s="12">
        <f t="shared" si="0"/>
        <v>-0.16263736263736261</v>
      </c>
      <c r="D5">
        <v>145.1</v>
      </c>
      <c r="E5" s="12">
        <f t="shared" si="1"/>
        <v>-0.11308068459657702</v>
      </c>
      <c r="F5">
        <v>156.6</v>
      </c>
      <c r="G5" s="12">
        <f t="shared" si="2"/>
        <v>-0.11274787535410769</v>
      </c>
    </row>
    <row r="6" spans="1:8" x14ac:dyDescent="0.25">
      <c r="A6" s="13">
        <v>44593</v>
      </c>
      <c r="B6">
        <v>165.7</v>
      </c>
      <c r="C6" s="12">
        <f t="shared" si="0"/>
        <v>8.7270341207348973E-2</v>
      </c>
      <c r="D6">
        <v>156.9</v>
      </c>
      <c r="E6" s="12">
        <f t="shared" si="1"/>
        <v>8.1323225361819518E-2</v>
      </c>
      <c r="F6">
        <v>166.1</v>
      </c>
      <c r="G6" s="12">
        <f t="shared" si="2"/>
        <v>6.066411238825032E-2</v>
      </c>
    </row>
    <row r="7" spans="1:8" x14ac:dyDescent="0.25">
      <c r="A7" s="13">
        <v>44958</v>
      </c>
      <c r="B7">
        <v>182.1</v>
      </c>
      <c r="C7" s="12">
        <f t="shared" si="0"/>
        <v>9.897404948702479E-2</v>
      </c>
      <c r="D7">
        <v>164.2</v>
      </c>
      <c r="E7" s="12">
        <f t="shared" si="1"/>
        <v>4.6526449968132461E-2</v>
      </c>
      <c r="F7">
        <v>177.2</v>
      </c>
      <c r="G7" s="12">
        <f t="shared" si="2"/>
        <v>6.6827212522576729E-2</v>
      </c>
    </row>
    <row r="8" spans="1:8" x14ac:dyDescent="0.25">
      <c r="A8" s="13">
        <v>44256</v>
      </c>
      <c r="B8">
        <v>155.5</v>
      </c>
      <c r="C8" s="12">
        <f t="shared" si="0"/>
        <v>-0.14607358594179021</v>
      </c>
      <c r="D8">
        <v>146.19999999999999</v>
      </c>
      <c r="E8" s="12">
        <f t="shared" si="1"/>
        <v>-0.10962241169305725</v>
      </c>
      <c r="F8">
        <v>156.80000000000001</v>
      </c>
      <c r="G8" s="12">
        <f t="shared" si="2"/>
        <v>-0.11512415349887122</v>
      </c>
    </row>
    <row r="9" spans="1:8" x14ac:dyDescent="0.25">
      <c r="A9" s="13">
        <v>44621</v>
      </c>
      <c r="B9">
        <v>167.2</v>
      </c>
      <c r="C9" s="12">
        <f t="shared" si="0"/>
        <v>7.5241157556270019E-2</v>
      </c>
      <c r="D9">
        <v>157.9</v>
      </c>
      <c r="E9" s="12">
        <f t="shared" si="1"/>
        <v>8.0027359781121868E-2</v>
      </c>
      <c r="F9">
        <v>167.7</v>
      </c>
      <c r="G9" s="12">
        <f t="shared" si="2"/>
        <v>6.9515306122448828E-2</v>
      </c>
    </row>
    <row r="10" spans="1:8" x14ac:dyDescent="0.25">
      <c r="A10" s="13">
        <v>44986</v>
      </c>
      <c r="B10">
        <v>181.9</v>
      </c>
      <c r="C10" s="12">
        <f t="shared" si="0"/>
        <v>8.7918660287081452E-2</v>
      </c>
      <c r="D10">
        <v>164.2</v>
      </c>
      <c r="E10" s="12">
        <f t="shared" si="1"/>
        <v>3.9898670044331744E-2</v>
      </c>
      <c r="F10">
        <v>177.2</v>
      </c>
      <c r="G10" s="12">
        <f t="shared" si="2"/>
        <v>5.6648777579010143E-2</v>
      </c>
    </row>
    <row r="11" spans="1:8" x14ac:dyDescent="0.25">
      <c r="A11" s="13">
        <v>44287</v>
      </c>
      <c r="B11">
        <v>155.6</v>
      </c>
      <c r="C11" s="12">
        <f t="shared" si="0"/>
        <v>-0.14458493677844975</v>
      </c>
      <c r="D11">
        <v>146.6</v>
      </c>
      <c r="E11" s="12">
        <f t="shared" si="1"/>
        <v>-0.10718635809987817</v>
      </c>
      <c r="F11">
        <v>157.80000000000001</v>
      </c>
      <c r="G11" s="12">
        <f t="shared" si="2"/>
        <v>-0.10948081264108341</v>
      </c>
    </row>
    <row r="12" spans="1:8" x14ac:dyDescent="0.25">
      <c r="A12" s="13">
        <v>44652</v>
      </c>
      <c r="B12">
        <v>172.2</v>
      </c>
      <c r="C12" s="12">
        <f t="shared" si="0"/>
        <v>0.10668380462724933</v>
      </c>
      <c r="D12">
        <v>162.6</v>
      </c>
      <c r="E12" s="12">
        <f t="shared" si="1"/>
        <v>0.10914051841746249</v>
      </c>
      <c r="F12">
        <v>170.1</v>
      </c>
      <c r="G12" s="12">
        <f t="shared" si="2"/>
        <v>7.7946768060836391E-2</v>
      </c>
    </row>
    <row r="13" spans="1:8" x14ac:dyDescent="0.25">
      <c r="A13" s="13">
        <v>45017</v>
      </c>
      <c r="B13">
        <v>181.7</v>
      </c>
      <c r="C13" s="12">
        <f t="shared" si="0"/>
        <v>5.5168408826945417E-2</v>
      </c>
      <c r="D13">
        <v>164.5</v>
      </c>
      <c r="E13" s="12">
        <f t="shared" si="1"/>
        <v>1.1685116851168548E-2</v>
      </c>
      <c r="F13">
        <v>178.1</v>
      </c>
      <c r="G13" s="12">
        <f t="shared" si="2"/>
        <v>4.7031158142269255E-2</v>
      </c>
    </row>
    <row r="14" spans="1:8" x14ac:dyDescent="0.25">
      <c r="A14" s="13">
        <v>44317</v>
      </c>
      <c r="B14">
        <v>159.4</v>
      </c>
      <c r="C14" s="12">
        <f t="shared" si="0"/>
        <v>-0.12272977435332957</v>
      </c>
      <c r="D14">
        <v>148.9</v>
      </c>
      <c r="E14" s="12">
        <f t="shared" si="1"/>
        <v>-9.4832826747720325E-2</v>
      </c>
      <c r="F14">
        <v>160.4</v>
      </c>
      <c r="G14" s="12">
        <f t="shared" si="2"/>
        <v>-9.9382369455362093E-2</v>
      </c>
    </row>
    <row r="15" spans="1:8" x14ac:dyDescent="0.25">
      <c r="A15" s="13">
        <v>44682</v>
      </c>
      <c r="B15">
        <v>174.6</v>
      </c>
      <c r="C15" s="12">
        <f t="shared" si="0"/>
        <v>9.5357590966122882E-2</v>
      </c>
      <c r="D15">
        <v>163</v>
      </c>
      <c r="E15" s="12">
        <f t="shared" si="1"/>
        <v>9.4694425789120171E-2</v>
      </c>
      <c r="F15">
        <v>171.7</v>
      </c>
      <c r="G15" s="12">
        <f t="shared" si="2"/>
        <v>7.0448877805486171E-2</v>
      </c>
    </row>
    <row r="16" spans="1:8" x14ac:dyDescent="0.25">
      <c r="A16" s="13">
        <v>45047</v>
      </c>
      <c r="B16">
        <v>182.8</v>
      </c>
      <c r="C16" s="12">
        <f t="shared" si="0"/>
        <v>4.6964490263459432E-2</v>
      </c>
      <c r="D16">
        <v>164.8</v>
      </c>
      <c r="E16" s="12">
        <f t="shared" si="1"/>
        <v>1.1042944785276143E-2</v>
      </c>
      <c r="F16">
        <v>179.1</v>
      </c>
      <c r="G16" s="12">
        <f t="shared" si="2"/>
        <v>4.3098427489807842E-2</v>
      </c>
    </row>
    <row r="17" spans="1:15" x14ac:dyDescent="0.25">
      <c r="A17" s="13">
        <v>44348</v>
      </c>
      <c r="B17">
        <v>159.80000000000001</v>
      </c>
      <c r="C17" s="12">
        <f t="shared" si="0"/>
        <v>-0.12582056892778992</v>
      </c>
      <c r="D17">
        <v>150.69999999999999</v>
      </c>
      <c r="E17" s="12">
        <f t="shared" si="1"/>
        <v>-8.5558252427184595E-2</v>
      </c>
      <c r="F17">
        <v>161.30000000000001</v>
      </c>
      <c r="G17" s="12">
        <f t="shared" si="2"/>
        <v>-9.9385817978782709E-2</v>
      </c>
    </row>
    <row r="18" spans="1:15" x14ac:dyDescent="0.25">
      <c r="A18" s="13">
        <v>44713</v>
      </c>
      <c r="B18">
        <v>176</v>
      </c>
      <c r="C18" s="12">
        <f t="shared" si="0"/>
        <v>0.10137672090112633</v>
      </c>
      <c r="D18">
        <v>161.1</v>
      </c>
      <c r="E18" s="12">
        <f t="shared" si="1"/>
        <v>6.901128069011285E-2</v>
      </c>
      <c r="F18">
        <v>172.6</v>
      </c>
      <c r="G18" s="12">
        <f t="shared" si="2"/>
        <v>7.0055796652200755E-2</v>
      </c>
    </row>
    <row r="19" spans="1:15" x14ac:dyDescent="0.25">
      <c r="A19" s="13">
        <v>44378</v>
      </c>
      <c r="B19">
        <v>160.69999999999999</v>
      </c>
      <c r="C19" s="12">
        <f t="shared" si="0"/>
        <v>-8.6931818181818249E-2</v>
      </c>
      <c r="D19">
        <v>153.1</v>
      </c>
      <c r="E19" s="12">
        <f t="shared" si="1"/>
        <v>-4.9658597144630667E-2</v>
      </c>
      <c r="F19">
        <v>162.5</v>
      </c>
      <c r="G19" s="12">
        <f t="shared" si="2"/>
        <v>-5.8516801853997651E-2</v>
      </c>
    </row>
    <row r="20" spans="1:15" x14ac:dyDescent="0.25">
      <c r="A20" s="13">
        <v>44743</v>
      </c>
      <c r="B20">
        <v>179.6</v>
      </c>
      <c r="C20" s="12">
        <f t="shared" si="0"/>
        <v>0.11761045426260117</v>
      </c>
      <c r="D20">
        <v>161.6</v>
      </c>
      <c r="E20" s="12">
        <f t="shared" si="1"/>
        <v>5.5519268451992163E-2</v>
      </c>
      <c r="F20">
        <v>173.4</v>
      </c>
      <c r="G20" s="12">
        <f t="shared" si="2"/>
        <v>6.7076923076923117E-2</v>
      </c>
    </row>
    <row r="21" spans="1:15" x14ac:dyDescent="0.25">
      <c r="A21" s="13">
        <v>44409</v>
      </c>
      <c r="B21">
        <v>162.6</v>
      </c>
      <c r="C21" s="12">
        <f t="shared" si="0"/>
        <v>-9.4654788418708238E-2</v>
      </c>
      <c r="D21">
        <v>154</v>
      </c>
      <c r="E21" s="12">
        <f t="shared" si="1"/>
        <v>-4.7029702970296995E-2</v>
      </c>
      <c r="F21">
        <v>163.19999999999999</v>
      </c>
      <c r="G21" s="12">
        <f t="shared" si="2"/>
        <v>-5.8823529411764802E-2</v>
      </c>
    </row>
    <row r="22" spans="1:15" x14ac:dyDescent="0.25">
      <c r="A22" s="13">
        <v>44774</v>
      </c>
      <c r="B22">
        <v>178.8</v>
      </c>
      <c r="C22" s="12">
        <f t="shared" si="0"/>
        <v>9.9630996309963207E-2</v>
      </c>
      <c r="D22">
        <v>161.9</v>
      </c>
      <c r="E22" s="12">
        <f t="shared" si="1"/>
        <v>5.1298701298701337E-2</v>
      </c>
      <c r="F22">
        <v>174.3</v>
      </c>
      <c r="G22" s="12">
        <f t="shared" si="2"/>
        <v>6.8014705882353088E-2</v>
      </c>
    </row>
    <row r="23" spans="1:15" x14ac:dyDescent="0.25">
      <c r="A23" s="13">
        <v>44440</v>
      </c>
      <c r="B23">
        <v>162.6</v>
      </c>
      <c r="C23" s="12">
        <f t="shared" si="0"/>
        <v>-9.0604026845637675E-2</v>
      </c>
      <c r="D23">
        <v>154</v>
      </c>
      <c r="E23" s="12">
        <f t="shared" si="1"/>
        <v>-4.8795552810376806E-2</v>
      </c>
      <c r="F23">
        <v>163.19999999999999</v>
      </c>
      <c r="G23" s="12">
        <f t="shared" si="2"/>
        <v>-6.3683304647160197E-2</v>
      </c>
      <c r="O23" t="s">
        <v>64</v>
      </c>
    </row>
    <row r="24" spans="1:15" x14ac:dyDescent="0.25">
      <c r="A24" s="13">
        <v>44805</v>
      </c>
      <c r="B24">
        <v>179.5</v>
      </c>
      <c r="C24" s="12">
        <f t="shared" si="0"/>
        <v>0.10393603936039364</v>
      </c>
      <c r="D24">
        <v>162.30000000000001</v>
      </c>
      <c r="E24" s="12">
        <f t="shared" si="1"/>
        <v>5.389610389610397E-2</v>
      </c>
      <c r="F24">
        <v>175.3</v>
      </c>
      <c r="G24" s="12">
        <f t="shared" si="2"/>
        <v>7.4142156862745237E-2</v>
      </c>
      <c r="O24" t="s">
        <v>65</v>
      </c>
    </row>
    <row r="25" spans="1:15" x14ac:dyDescent="0.25">
      <c r="A25" s="13">
        <v>44470</v>
      </c>
      <c r="B25">
        <v>164.2</v>
      </c>
      <c r="C25" s="12">
        <f t="shared" si="0"/>
        <v>-8.5236768802228483E-2</v>
      </c>
      <c r="D25">
        <v>155.69999999999999</v>
      </c>
      <c r="E25" s="12">
        <f t="shared" si="1"/>
        <v>-4.066543438077648E-2</v>
      </c>
      <c r="F25">
        <v>165.5</v>
      </c>
      <c r="G25" s="12">
        <f t="shared" si="2"/>
        <v>-5.5904164289788998E-2</v>
      </c>
    </row>
    <row r="26" spans="1:15" x14ac:dyDescent="0.25">
      <c r="A26" s="13">
        <v>44835</v>
      </c>
      <c r="B26">
        <v>180.5</v>
      </c>
      <c r="C26" s="12">
        <f t="shared" si="0"/>
        <v>9.9269183922046367E-2</v>
      </c>
      <c r="D26">
        <v>162.9</v>
      </c>
      <c r="E26" s="12">
        <f t="shared" si="1"/>
        <v>4.6242774566474104E-2</v>
      </c>
      <c r="F26">
        <v>176.7</v>
      </c>
      <c r="G26" s="12">
        <f t="shared" si="2"/>
        <v>6.7673716012084523E-2</v>
      </c>
      <c r="O26" t="s">
        <v>66</v>
      </c>
    </row>
    <row r="27" spans="1:15" x14ac:dyDescent="0.25">
      <c r="A27" s="13">
        <v>44501</v>
      </c>
      <c r="B27">
        <v>163.9</v>
      </c>
      <c r="C27" s="12">
        <f t="shared" si="0"/>
        <v>-9.1966759002770057E-2</v>
      </c>
      <c r="D27">
        <v>154.80000000000001</v>
      </c>
      <c r="E27" s="12">
        <f t="shared" si="1"/>
        <v>-4.9723756906077311E-2</v>
      </c>
      <c r="F27">
        <v>166.7</v>
      </c>
      <c r="G27" s="12">
        <f t="shared" si="2"/>
        <v>-5.6593095642331642E-2</v>
      </c>
    </row>
    <row r="28" spans="1:15" x14ac:dyDescent="0.25">
      <c r="A28" s="13">
        <v>44866</v>
      </c>
      <c r="B28">
        <v>181.3</v>
      </c>
      <c r="C28" s="12">
        <f t="shared" si="0"/>
        <v>0.1061622940817572</v>
      </c>
      <c r="D28">
        <v>163</v>
      </c>
      <c r="E28" s="12">
        <f t="shared" si="1"/>
        <v>5.2971576227390106E-2</v>
      </c>
      <c r="F28">
        <v>176.5</v>
      </c>
      <c r="G28" s="12">
        <f t="shared" si="2"/>
        <v>5.8788242351529768E-2</v>
      </c>
    </row>
    <row r="29" spans="1:15" x14ac:dyDescent="0.25">
      <c r="A29" s="13">
        <v>44531</v>
      </c>
      <c r="B29">
        <v>164.1</v>
      </c>
      <c r="C29" s="12">
        <f t="shared" si="0"/>
        <v>-9.4870380584666389E-2</v>
      </c>
      <c r="D29">
        <v>155.69999999999999</v>
      </c>
      <c r="E29" s="12">
        <f t="shared" si="1"/>
        <v>-4.4785276073619699E-2</v>
      </c>
      <c r="F29">
        <v>166.2</v>
      </c>
      <c r="G29" s="12">
        <f t="shared" si="2"/>
        <v>-5.8356940509915078E-2</v>
      </c>
    </row>
    <row r="30" spans="1:15" x14ac:dyDescent="0.25">
      <c r="A30" s="13">
        <v>44896</v>
      </c>
      <c r="B30">
        <v>182</v>
      </c>
      <c r="C30" s="12">
        <f t="shared" si="0"/>
        <v>0.10907982937233399</v>
      </c>
      <c r="D30">
        <v>163.4</v>
      </c>
      <c r="E30" s="12">
        <f t="shared" si="1"/>
        <v>4.9454078355812572E-2</v>
      </c>
      <c r="F30">
        <v>175.7</v>
      </c>
      <c r="G30" s="12">
        <f t="shared" si="2"/>
        <v>5.7160048134777382E-2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All_India_Index_Upto_April23 (1</vt:lpstr>
      <vt:lpstr>Sheet3</vt:lpstr>
      <vt:lpstr>Sheet4</vt:lpstr>
      <vt:lpstr>Sheet2</vt:lpstr>
      <vt:lpstr>Dashboard</vt:lpstr>
      <vt:lpstr>Category Contribution Analysis</vt:lpstr>
      <vt:lpstr>YOY</vt:lpstr>
      <vt:lpstr>Food</vt:lpstr>
      <vt:lpstr>COVID-19</vt:lpstr>
      <vt:lpstr>Fuel_Impact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Jain</dc:creator>
  <cp:lastModifiedBy>Ayush Jain</cp:lastModifiedBy>
  <dcterms:created xsi:type="dcterms:W3CDTF">2026-05-14T19:49:19Z</dcterms:created>
  <dcterms:modified xsi:type="dcterms:W3CDTF">2026-07-05T05:41:39Z</dcterms:modified>
</cp:coreProperties>
</file>